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-Week Cash 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<sst xmlns="http://schemas.openxmlformats.org/spreadsheetml/2006/main" count="34" uniqueCount="34">
  <si>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13-Week Rolling Cash Flow Forecast</t>
  </si>
  <si>
    <t xml:space="preserve">Illustrative example, a hypothetical growing services business. Not real company data, built to demonstrate the mechanic.</t>
  </si>
  <si>
    <t xml:space="preserve">£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</si>
  <si>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</si>
  <si>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</si>
  <si>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</si>
  <si>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</si>
  <si>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</si>
  <si>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</si>
  <si>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</si>
  <si>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</si>
  <si>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</si>
  <si>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</si>
  <si>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</si>
  <si>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</si>
  <si>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</si>
  <si>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Opening cash</t>
  </si>
  <si>
    <t xml:space="preserve">Receipts, regular trading</t>
  </si>
  <si>
    <t xml:space="preserve">Receipts, Customer A (late)</t>
  </si>
  <si>
    <t xml:space="preserve">Total receipts</t>
  </si>
  <si>
    <t xml:space="preserve">Payments, regular (payroll, suppliers, rent)</t>
  </si>
  <si>
    <t xml:space="preserve">Payments, VAT (quarterly)</t>
  </si>
  <si>
    <t xml:space="preserve">Total payments</t>
  </si>
  <si>
    <t xml:space="preserve">Net cash flow</t>
  </si>
  <si>
    <t xml:space="preserve">Closing cash</t>
  </si>
  <si>
    <t xml:space="preserve">Facility limit (agreed overdraft)</t>
  </si>
  <si>
    <t xml:space="preserve">Headroom vs facility</t>
  </si>
  <si>
    <t xml:space="preserve">What the forecast catches</t>
  </si>
  <si>
    <t xml:space="preserve">Customer A's invoice was originally due in week 4. Based on their payment history, the realistic forecast pushes it to week 8,</t>
  </si>
  <si>
    <t xml:space="preserve">this is the actual forecasting judgement, not just copying invoice due dates into a spreadsheet. That gap collides with a</t>
  </si>
  <si>
    <t xml:space="preserve">quarterly VAT payment in week 6, and the business spends two weeks (6 and 7) inside its overdraft facility, never breaching</t>
  </si>
  <si>
    <t xml:space="preserve">it, but using most of the available headroom. A forecast built only on monthly numbers would not show this at all. Seeing it</t>
  </si>
  <si>
    <t xml:space="preserve">six weeks out gives genuine options: chase Customer A harder, delay a discretionary payment, or simply confirm the facility</t>
  </si>
  <si>
    <t xml:space="preserve">is undrawn and available before it's actually needed.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</si>
</sst>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430"/>
      <name val="Arial"/>
      <family val="0"/>
      <charset val="1"/>
    </font>
    <font>
      <i val="true"/>
      <sz val="10"/>
      <color rgb="FF5C647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44536"/>
      <name val="Arial"/>
      <family val="0"/>
      <charset val="1"/>
    </font>
    <font>
      <b val="true"/>
      <sz val="12"/>
      <color rgb="FF1B2430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F3EF"/>
        <bgColor rgb="FFFBEAE7"/>
      </patternFill>
    </fill>
    <fill>
      <patternFill patternType="solid">
        <fgColor rgb="FFFBEAE7"/>
        <bgColor rgb="FFF4F3E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44536"/>
      </bottom>
      <diagonal/>
    </border>
    <border diagonalUp="false" diagonalDown="false">
      <left/>
      <right/>
      <top/>
      <bottom style="thin">
        <color rgb="FFD9D5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3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5C9"/>
      <rgbColor rgb="FF878787"/>
      <rgbColor rgb="FF9999FF"/>
      <rgbColor rgb="FFC44536"/>
      <rgbColor rgb="FFFBEAE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 position, 13 weeks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'13-Week Cash Forecast'!A13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430"/>
            </a:solidFill>
            <a:ln w="28080">
              <a:solidFill>
                <a:srgbClr val="1b2430"/>
              </a:solidFill>
              <a:round/>
            </a:ln>
          </c:spPr>
          <c:marker>
            <c:symbol val="circle"/>
            <c:size val="5"/>
            <c:spPr>
              <a:solidFill>
                <a:srgbClr val="1b243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'13-Week Cash Forecast'!$B$4:$N$4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'13-Week Cash Forecast'!$B$13:$N$13</c:f>
              <c:numCache>
                <c:formatCode>#,##0;\(#,##0\);\-</c:formatCode>
                <c:ptCount val="13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-15000</c:v>
                </c:pt>
                <c:pt idx="6">
                  <c:v>-15000</c:v>
                </c:pt>
                <c:pt idx="7">
                  <c:v>165000</c:v>
                </c:pt>
                <c:pt idx="8">
                  <c:v>170000</c:v>
                </c:pt>
                <c:pt idx="9">
                  <c:v>175000</c:v>
                </c:pt>
                <c:pt idx="10">
                  <c:v>180000</c:v>
                </c:pt>
                <c:pt idx="11">
                  <c:v>185000</c:v>
                </c:pt>
                <c:pt idx="12">
                  <c:v>190000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'13-Week Cash Forecast'!A15</c:f>
              <c:strCache>
                <c:ptCount val="1"/>
                <c:pt idx="0">
                  <c:v>Facility limit (agreed overdraft)</c:v>
                </c:pt>
              </c:strCache>
            </c:strRef>
          </c:tx>
          <c:spPr>
            <a:solidFill>
              <a:srgbClr val="c44536"/>
            </a:solidFill>
            <a:ln w="1800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'13-Week Cash Forecast'!$B$4:$N$4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'13-Week Cash Forecast'!$B$15:$N$15</c:f>
              <c:numCache>
                <c:formatCode>#,##0;\(#,##0\);\-</c:formatCode>
                <c:ptCount val="13"/>
                <c:pt idx="0">
                  <c:v>-75000</c:v>
                </c:pt>
                <c:pt idx="1">
                  <c:v>-75000</c:v>
                </c:pt>
                <c:pt idx="2">
                  <c:v>-75000</c:v>
                </c:pt>
                <c:pt idx="3">
                  <c:v>-75000</c:v>
                </c:pt>
                <c:pt idx="4">
                  <c:v>-75000</c:v>
                </c:pt>
                <c:pt idx="5">
                  <c:v>-75000</c:v>
                </c:pt>
                <c:pt idx="6">
                  <c:v>-75000</c:v>
                </c:pt>
                <c:pt idx="7">
                  <c:v>-75000</c:v>
                </c:pt>
                <c:pt idx="8">
                  <c:v>-75000</c:v>
                </c:pt>
                <c:pt idx="9">
                  <c:v>-75000</c:v>
                </c:pt>
                <c:pt idx="10">
                  <c:v>-75000</c:v>
                </c:pt>
                <c:pt idx="11">
                  <c:v>-75000</c:v>
                </c:pt>
                <c:pt idx="12">
                  <c:v>-75000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851807"/>
        <c:axId val="50221048"/>
      </c:lineChart>
      <c:catAx>
        <c:axId val="1785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21048"/>
        <c:crosses val="autoZero"/>
        <c:auto val="1"/>
        <c:lblAlgn val="ctr"/>
        <c:lblOffset val="100"/>
        <c:noMultiLvlLbl val="0"/>
      </c:catAx>
      <c:valAx>
        <c:axId val="50221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51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145440</xdr:rowOff>
    </xdr:from>
    <xdr:to>
      <xdr:col>9</xdr:col>
      <xdr:colOff>448200</xdr:colOff>
      <xdr:row>43</xdr:row>
      <xdr:rowOff>146880</xdr:rowOff>
    </xdr:to>
    <xdr:graphicFrame>
      <xdr:nvGraphicFramePr>
        <xdr:cNvPr id="0" name="Chart 1"/>
        <xdr:cNvGraphicFramePr/>
      </xdr:nvGraphicFramePr>
      <xdr:xfrm>
        <a:off x="0" y="5143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5" t="s">
        <v>16</v>
      </c>
      <c r="B5" s="6" t="n">
        <v>50000</v>
      </c>
      <c r="C5" s="7" t="n">
        <f aca="false">B13</f>
        <v>50000</v>
      </c>
      <c r="D5" s="7" t="n">
        <f aca="false">C13</f>
        <v>50000</v>
      </c>
      <c r="E5" s="7" t="n">
        <f aca="false">D13</f>
        <v>50000</v>
      </c>
      <c r="F5" s="7" t="n">
        <f aca="false">E13</f>
        <v>50000</v>
      </c>
      <c r="G5" s="7" t="n">
        <f aca="false">F13</f>
        <v>50000</v>
      </c>
      <c r="H5" s="7" t="n">
        <f aca="false">G13</f>
        <v>-15000</v>
      </c>
      <c r="I5" s="7" t="n">
        <f aca="false">H13</f>
        <v>-15000</v>
      </c>
      <c r="J5" s="7" t="n">
        <f aca="false">I13</f>
        <v>165000</v>
      </c>
      <c r="K5" s="7" t="n">
        <f aca="false">J13</f>
        <v>170000</v>
      </c>
      <c r="L5" s="7" t="n">
        <f aca="false">K13</f>
        <v>175000</v>
      </c>
      <c r="M5" s="7" t="n">
        <f aca="false">L13</f>
        <v>180000</v>
      </c>
      <c r="N5" s="7" t="n">
        <f aca="false">M13</f>
        <v>185000</v>
      </c>
    </row>
    <row r="6" customFormat="false" ht="15" hidden="false" customHeight="false" outlineLevel="0" collapsed="false">
      <c r="A6" s="8" t="s">
        <v>17</v>
      </c>
      <c r="B6" s="6" t="n">
        <v>85000</v>
      </c>
      <c r="C6" s="6" t="n">
        <v>85000</v>
      </c>
      <c r="D6" s="6" t="n">
        <v>85000</v>
      </c>
      <c r="E6" s="6" t="n">
        <v>85000</v>
      </c>
      <c r="F6" s="6" t="n">
        <v>85000</v>
      </c>
      <c r="G6" s="6" t="n">
        <v>85000</v>
      </c>
      <c r="H6" s="6" t="n">
        <v>85000</v>
      </c>
      <c r="I6" s="6" t="n">
        <v>85000</v>
      </c>
      <c r="J6" s="6" t="n">
        <v>90000</v>
      </c>
      <c r="K6" s="6" t="n">
        <v>90000</v>
      </c>
      <c r="L6" s="6" t="n">
        <v>90000</v>
      </c>
      <c r="M6" s="6" t="n">
        <v>90000</v>
      </c>
      <c r="N6" s="6" t="n">
        <v>90000</v>
      </c>
    </row>
    <row r="7" customFormat="false" ht="15" hidden="false" customHeight="false" outlineLevel="0" collapsed="false">
      <c r="A7" s="8" t="s">
        <v>18</v>
      </c>
      <c r="B7" s="6"/>
      <c r="C7" s="6"/>
      <c r="D7" s="6"/>
      <c r="E7" s="6"/>
      <c r="F7" s="6"/>
      <c r="G7" s="6"/>
      <c r="H7" s="6"/>
      <c r="I7" s="6" t="n">
        <v>180000</v>
      </c>
      <c r="J7" s="6"/>
      <c r="K7" s="6"/>
      <c r="L7" s="6"/>
      <c r="M7" s="6"/>
      <c r="N7" s="6"/>
    </row>
    <row r="8" customFormat="false" ht="15" hidden="false" customHeight="false" outlineLevel="0" collapsed="false">
      <c r="A8" s="5" t="s">
        <v>19</v>
      </c>
      <c r="B8" s="7" t="n">
        <f aca="false">B6+IF(B7="",0,B7)</f>
        <v>85000</v>
      </c>
      <c r="C8" s="7" t="n">
        <f aca="false">C6+IF(C7="",0,C7)</f>
        <v>85000</v>
      </c>
      <c r="D8" s="7" t="n">
        <f aca="false">D6+IF(D7="",0,D7)</f>
        <v>85000</v>
      </c>
      <c r="E8" s="7" t="n">
        <f aca="false">E6+IF(E7="",0,E7)</f>
        <v>85000</v>
      </c>
      <c r="F8" s="7" t="n">
        <f aca="false">F6+IF(F7="",0,F7)</f>
        <v>85000</v>
      </c>
      <c r="G8" s="7" t="n">
        <f aca="false">G6+IF(G7="",0,G7)</f>
        <v>85000</v>
      </c>
      <c r="H8" s="7" t="n">
        <f aca="false">H6+IF(H7="",0,H7)</f>
        <v>85000</v>
      </c>
      <c r="I8" s="7" t="n">
        <f aca="false">I6+IF(I7="",0,I7)</f>
        <v>265000</v>
      </c>
      <c r="J8" s="7" t="n">
        <f aca="false">J6+IF(J7="",0,J7)</f>
        <v>90000</v>
      </c>
      <c r="K8" s="7" t="n">
        <f aca="false">K6+IF(K7="",0,K7)</f>
        <v>90000</v>
      </c>
      <c r="L8" s="7" t="n">
        <f aca="false">L6+IF(L7="",0,L7)</f>
        <v>90000</v>
      </c>
      <c r="M8" s="7" t="n">
        <f aca="false">M6+IF(M7="",0,M7)</f>
        <v>90000</v>
      </c>
      <c r="N8" s="7" t="n">
        <f aca="false">N6+IF(N7="",0,N7)</f>
        <v>90000</v>
      </c>
    </row>
    <row r="9" customFormat="false" ht="15" hidden="false" customHeight="false" outlineLevel="0" collapsed="false">
      <c r="A9" s="8" t="s">
        <v>20</v>
      </c>
      <c r="B9" s="6" t="n">
        <v>85000</v>
      </c>
      <c r="C9" s="6" t="n">
        <v>85000</v>
      </c>
      <c r="D9" s="6" t="n">
        <v>85000</v>
      </c>
      <c r="E9" s="6" t="n">
        <v>85000</v>
      </c>
      <c r="F9" s="6" t="n">
        <v>85000</v>
      </c>
      <c r="G9" s="6" t="n">
        <v>85000</v>
      </c>
      <c r="H9" s="6" t="n">
        <v>85000</v>
      </c>
      <c r="I9" s="6" t="n">
        <v>85000</v>
      </c>
      <c r="J9" s="6" t="n">
        <v>85000</v>
      </c>
      <c r="K9" s="6" t="n">
        <v>85000</v>
      </c>
      <c r="L9" s="6" t="n">
        <v>85000</v>
      </c>
      <c r="M9" s="6" t="n">
        <v>85000</v>
      </c>
      <c r="N9" s="6" t="n">
        <v>85000</v>
      </c>
    </row>
    <row r="10" customFormat="false" ht="15" hidden="false" customHeight="false" outlineLevel="0" collapsed="false">
      <c r="A10" s="8" t="s">
        <v>21</v>
      </c>
      <c r="B10" s="6"/>
      <c r="C10" s="6"/>
      <c r="D10" s="6"/>
      <c r="E10" s="6"/>
      <c r="F10" s="6"/>
      <c r="G10" s="6" t="n">
        <v>65000</v>
      </c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5" t="s">
        <v>22</v>
      </c>
      <c r="B11" s="7" t="n">
        <f aca="false">B9+IF(B10="",0,B10)</f>
        <v>85000</v>
      </c>
      <c r="C11" s="7" t="n">
        <f aca="false">C9+IF(C10="",0,C10)</f>
        <v>85000</v>
      </c>
      <c r="D11" s="7" t="n">
        <f aca="false">D9+IF(D10="",0,D10)</f>
        <v>85000</v>
      </c>
      <c r="E11" s="7" t="n">
        <f aca="false">E9+IF(E10="",0,E10)</f>
        <v>85000</v>
      </c>
      <c r="F11" s="7" t="n">
        <f aca="false">F9+IF(F10="",0,F10)</f>
        <v>85000</v>
      </c>
      <c r="G11" s="7" t="n">
        <f aca="false">G9+IF(G10="",0,G10)</f>
        <v>150000</v>
      </c>
      <c r="H11" s="7" t="n">
        <f aca="false">H9+IF(H10="",0,H10)</f>
        <v>85000</v>
      </c>
      <c r="I11" s="7" t="n">
        <f aca="false">I9+IF(I10="",0,I10)</f>
        <v>85000</v>
      </c>
      <c r="J11" s="7" t="n">
        <f aca="false">J9+IF(J10="",0,J10)</f>
        <v>85000</v>
      </c>
      <c r="K11" s="7" t="n">
        <f aca="false">K9+IF(K10="",0,K10)</f>
        <v>85000</v>
      </c>
      <c r="L11" s="7" t="n">
        <f aca="false">L9+IF(L10="",0,L10)</f>
        <v>85000</v>
      </c>
      <c r="M11" s="7" t="n">
        <f aca="false">M9+IF(M10="",0,M10)</f>
        <v>85000</v>
      </c>
      <c r="N11" s="7" t="n">
        <f aca="false">N9+IF(N10="",0,N10)</f>
        <v>85000</v>
      </c>
    </row>
    <row r="12" customFormat="false" ht="15" hidden="false" customHeight="false" outlineLevel="0" collapsed="false">
      <c r="A12" s="5" t="s">
        <v>23</v>
      </c>
      <c r="B12" s="7" t="n">
        <f aca="false">B8-B11</f>
        <v>0</v>
      </c>
      <c r="C12" s="7" t="n">
        <f aca="false">C8-C11</f>
        <v>0</v>
      </c>
      <c r="D12" s="7" t="n">
        <f aca="false">D8-D11</f>
        <v>0</v>
      </c>
      <c r="E12" s="7" t="n">
        <f aca="false">E8-E11</f>
        <v>0</v>
      </c>
      <c r="F12" s="7" t="n">
        <f aca="false">F8-F11</f>
        <v>0</v>
      </c>
      <c r="G12" s="7" t="n">
        <f aca="false">G8-G11</f>
        <v>-65000</v>
      </c>
      <c r="H12" s="7" t="n">
        <f aca="false">H8-H11</f>
        <v>0</v>
      </c>
      <c r="I12" s="7" t="n">
        <f aca="false">I8-I11</f>
        <v>180000</v>
      </c>
      <c r="J12" s="7" t="n">
        <f aca="false">J8-J11</f>
        <v>5000</v>
      </c>
      <c r="K12" s="7" t="n">
        <f aca="false">K8-K11</f>
        <v>5000</v>
      </c>
      <c r="L12" s="7" t="n">
        <f aca="false">L8-L11</f>
        <v>5000</v>
      </c>
      <c r="M12" s="7" t="n">
        <f aca="false">M8-M11</f>
        <v>5000</v>
      </c>
      <c r="N12" s="7" t="n">
        <f aca="false">N8-N11</f>
        <v>5000</v>
      </c>
    </row>
    <row r="13" customFormat="false" ht="15" hidden="false" customHeight="false" outlineLevel="0" collapsed="false">
      <c r="A13" s="5" t="s">
        <v>24</v>
      </c>
      <c r="B13" s="9" t="n">
        <f aca="false">B5+B12</f>
        <v>50000</v>
      </c>
      <c r="C13" s="9" t="n">
        <f aca="false">B13+C12</f>
        <v>50000</v>
      </c>
      <c r="D13" s="9" t="n">
        <f aca="false">C13+D12</f>
        <v>50000</v>
      </c>
      <c r="E13" s="9" t="n">
        <f aca="false">D13+E12</f>
        <v>50000</v>
      </c>
      <c r="F13" s="9" t="n">
        <f aca="false">E13+F12</f>
        <v>50000</v>
      </c>
      <c r="G13" s="10" t="n">
        <f aca="false">F13+G12</f>
        <v>-15000</v>
      </c>
      <c r="H13" s="10" t="n">
        <f aca="false">G13+H12</f>
        <v>-15000</v>
      </c>
      <c r="I13" s="9" t="n">
        <f aca="false">H13+I12</f>
        <v>165000</v>
      </c>
      <c r="J13" s="9" t="n">
        <f aca="false">I13+J12</f>
        <v>170000</v>
      </c>
      <c r="K13" s="9" t="n">
        <f aca="false">J13+K12</f>
        <v>175000</v>
      </c>
      <c r="L13" s="9" t="n">
        <f aca="false">K13+L12</f>
        <v>180000</v>
      </c>
      <c r="M13" s="9" t="n">
        <f aca="false">L13+M12</f>
        <v>185000</v>
      </c>
      <c r="N13" s="9" t="n">
        <f aca="false">M13+N12</f>
        <v>190000</v>
      </c>
    </row>
    <row r="15" customFormat="false" ht="15" hidden="false" customHeight="false" outlineLevel="0" collapsed="false">
      <c r="A15" s="8" t="s">
        <v>25</v>
      </c>
      <c r="B15" s="6" t="n">
        <v>-75000</v>
      </c>
      <c r="C15" s="6" t="n">
        <v>-75000</v>
      </c>
      <c r="D15" s="6" t="n">
        <v>-75000</v>
      </c>
      <c r="E15" s="6" t="n">
        <v>-75000</v>
      </c>
      <c r="F15" s="6" t="n">
        <v>-75000</v>
      </c>
      <c r="G15" s="6" t="n">
        <v>-75000</v>
      </c>
      <c r="H15" s="6" t="n">
        <v>-75000</v>
      </c>
      <c r="I15" s="6" t="n">
        <v>-75000</v>
      </c>
      <c r="J15" s="6" t="n">
        <v>-75000</v>
      </c>
      <c r="K15" s="6" t="n">
        <v>-75000</v>
      </c>
      <c r="L15" s="6" t="n">
        <v>-75000</v>
      </c>
      <c r="M15" s="6" t="n">
        <v>-75000</v>
      </c>
      <c r="N15" s="6" t="n">
        <v>-75000</v>
      </c>
    </row>
    <row r="16" customFormat="false" ht="15" hidden="false" customHeight="false" outlineLevel="0" collapsed="false">
      <c r="A16" s="5" t="s">
        <v>26</v>
      </c>
      <c r="B16" s="7" t="n">
        <f aca="false">B13-B15</f>
        <v>125000</v>
      </c>
      <c r="C16" s="7" t="n">
        <f aca="false">C13-C15</f>
        <v>125000</v>
      </c>
      <c r="D16" s="7" t="n">
        <f aca="false">D13-D15</f>
        <v>125000</v>
      </c>
      <c r="E16" s="7" t="n">
        <f aca="false">E13-E15</f>
        <v>125000</v>
      </c>
      <c r="F16" s="7" t="n">
        <f aca="false">F13-F15</f>
        <v>125000</v>
      </c>
      <c r="G16" s="11" t="n">
        <f aca="false">G13-G15</f>
        <v>60000</v>
      </c>
      <c r="H16" s="11" t="n">
        <f aca="false">H13-H15</f>
        <v>60000</v>
      </c>
      <c r="I16" s="7" t="n">
        <f aca="false">I13-I15</f>
        <v>240000</v>
      </c>
      <c r="J16" s="7" t="n">
        <f aca="false">J13-J15</f>
        <v>245000</v>
      </c>
      <c r="K16" s="7" t="n">
        <f aca="false">K13-K15</f>
        <v>250000</v>
      </c>
      <c r="L16" s="7" t="n">
        <f aca="false">L13-L15</f>
        <v>255000</v>
      </c>
      <c r="M16" s="7" t="n">
        <f aca="false">M13-M15</f>
        <v>260000</v>
      </c>
      <c r="N16" s="7" t="n">
        <f aca="false">N13-N15</f>
        <v>265000</v>
      </c>
    </row>
    <row r="19" customFormat="false" ht="15" hidden="false" customHeight="false" outlineLevel="0" collapsed="false">
      <c r="A19" s="12" t="s">
        <v>27</v>
      </c>
    </row>
    <row r="20" customFormat="false" ht="15" hidden="false" customHeight="false" outlineLevel="0" collapsed="false">
      <c r="A20" s="13" t="s">
        <v>28</v>
      </c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3" t="s">
        <v>29</v>
      </c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3" t="s">
        <v>30</v>
      </c>
      <c r="B22" s="13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3" t="s">
        <v>31</v>
      </c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customFormat="false" ht="15" hidden="false" customHeight="false" outlineLevel="0" collapsed="false">
      <c r="A25" s="13" t="s">
        <v>33</v>
      </c>
      <c r="B25" s="13"/>
      <c r="C25" s="13"/>
      <c r="D25" s="13"/>
      <c r="E25" s="13"/>
      <c r="F25" s="13"/>
      <c r="G25" s="13"/>
      <c r="H25" s="13"/>
      <c r="I25" s="13"/>
      <c r="J25" s="13"/>
    </row>
  </sheetData>
  <mergeCells count="8">
    <mergeCell ref="A1:N1"/>
    <mergeCell ref="A2:N2"/>
    <mergeCell ref="A20:J20"/>
    <mergeCell ref="A21:J21"/>
    <mergeCell ref="A22:J22"/>
    <mergeCell ref="A23:J23"/>
    <mergeCell ref="A24:J24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2026-06-27T15:13:09Z</dcterms:created>
  <dc:creator>openpyxl</dc:creator>
  <dc:description/>
  <dc:language>en-US</dc:language>
  <cp:lastModifiedBy/>
  <dcterms:modified xsi:type="dcterms:W3CDTF">2026-06-27T15:13:16Z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