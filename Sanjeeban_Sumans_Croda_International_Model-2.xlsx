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Cash Flow" sheetId="4" state="visible" r:id="rId6"/>
    <sheet name="Balance Sheet" sheetId="5" state="visible" r:id="rId7"/>
    <sheet name="DCF" sheetId="6" state="visible" r:id="rId8"/>
    <sheet name="Comps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<sst xmlns="http://schemas.openxmlformats.org/spreadsheetml/2006/main" count="218" uniqueCount="170">
  <si>
    <t xml:space="preserve">Croda International — Valuation Model</t>
  </si>
  <si>
    <t xml:space="preserve">LON: CRDA  ·  Specialty Chemicals — Life Sciences  ·  built by Sanjeeban Sumans, June 2026</t>
  </si>
  <si>
    <t xml:space="preserve">What's in here</t>
  </si>
  <si>
    <t xml:space="preserve">Assumptions holds every input the model runs on. Change a number here and everything downstream updates with it.</t>
  </si>
  <si>
    <t xml:space="preserve">Income Statement, Balance Sheet and Cash Flow are the three statements, built off Croda's own FY2025 results where actuals exist.</t>
  </si>
  <si>
    <t xml:space="preserve">DCF discounts the unlevered cash flow at WACC, with a sensitivity grid so the answer isn't pinned to one assumption.</t>
  </si>
  <si>
    <t xml:space="preserve">Comps checks the DCF against three peers.</t>
  </si>
  <si>
    <t xml:space="preserve">Summary is the football field: the one page that shows where all four methods land relative to today's price.</t>
  </si>
  <si>
    <t xml:space="preserve">Headline output</t>
  </si>
  <si>
    <t xml:space="preserve">Current share price (26 Jun 2026)</t>
  </si>
  <si>
    <t xml:space="preserve">DCF implied value per share (base case)</t>
  </si>
  <si>
    <t xml:space="preserve">Comps-implied value per share (peer P/E)</t>
  </si>
  <si>
    <t xml:space="preserve">Source note</t>
  </si>
  <si>
    <t xml:space="preserve">Historical figures are sourced from Croda International's FY2025 Results, Finance Review 2025, and Q1 2026 Trading Update (all croda.com),</t>
  </si>
  <si>
    <t xml:space="preserve">and from Yahoo Finance / London Stock Exchange live data as at 26 June 2026. Projections are built from company-disclosed guidance and</t>
  </si>
  <si>
    <t xml:space="preserve">targets (organic growth 3-6%, operating margin path to &gt;20% by FY2028, capex ~6% of sales), not third-party consensus. See Assumptions tab.</t>
  </si>
  <si>
    <t xml:space="preserve">Assumptions</t>
  </si>
  <si>
    <t xml:space="preserve">All hardcoded inputs (blue) live here. Nothing else in the workbook should contain a hardcoded driver.</t>
  </si>
  <si>
    <t xml:space="preserve">Operating assumptions - 2026E-2030E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</si>
  <si>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</si>
  <si>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</si>
  <si>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</si>
  <si>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</si>
  <si>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</si>
  <si>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</si>
  <si>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</si>
  <si>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growth, % YoY</t>
  </si>
  <si>
    <t xml:space="preserve">Adjusted operating margin, %</t>
  </si>
  <si>
    <t xml:space="preserve">Co. guidance: margin path 17.4% (2025A) to &gt;20% by FY2028</t>
  </si>
  <si>
    <t xml:space="preserve">Capex, % of revenue</t>
  </si>
  <si>
    <t xml:space="preserve">Co. guidance: capex ~6% of sales (Finance Review 2025)</t>
  </si>
  <si>
    <t xml:space="preserve">D&amp;A, % of revenue</t>
  </si>
  <si>
    <t xml:space="preserve">2026E approx £118m (2025A ~£108m + £10m co.-guided step-up); glides toward capex % thereafter</t>
  </si>
  <si>
    <t xml:space="preserve">Net working capital benefit / (use), £m</t>
  </si>
  <si>
    <t xml:space="preserve">Co. target: structural NWC reduction of ~£50m by FY2028</t>
  </si>
  <si>
    <t xml:space="preserve">Net interest, £m</t>
  </si>
  <si>
    <t xml:space="preserve">Simplifying glide path reflecting modest deleveraging; not a full debt schedule</t>
  </si>
  <si>
    <t xml:space="preserve">Tax rate on adjusted profit</t>
  </si>
  <si>
    <t xml:space="preserve">Co. guidance: effective tax rate ~26% (Finance Review 2025)</t>
  </si>
  <si>
    <t xml:space="preserve">WACC / CAPM inputs</t>
  </si>
  <si>
    <t xml:space="preserve">Risk-free rate (UK 10Y gilt yield)</t>
  </si>
  <si>
    <t xml:space="preserve">Source: Trading Economics, 25 Jun 2026</t>
  </si>
  <si>
    <t xml:space="preserve">Beta (5Y monthly)</t>
  </si>
  <si>
    <t xml:space="preserve">Source: Yahoo Finance, CRDA.L, 26 Jun 2026</t>
  </si>
  <si>
    <t xml:space="preserve">Equity market risk premium</t>
  </si>
  <si>
    <t xml:space="preserve">Assumption: standard UK large-cap ERP</t>
  </si>
  <si>
    <t xml:space="preserve">Pre-tax cost of debt</t>
  </si>
  <si>
    <t xml:space="preserve">Assumption: gilt yield + ~125bp investment-grade spread</t>
  </si>
  <si>
    <t xml:space="preserve">Terminal growth rate</t>
  </si>
  <si>
    <t xml:space="preserve">Assumption: long-run UK nominal GDP proxy</t>
  </si>
  <si>
    <t xml:space="preserve">Cost of equity (CAPM)</t>
  </si>
  <si>
    <t xml:space="preserve">After-tax cost of debt</t>
  </si>
  <si>
    <t xml:space="preserve">Capital structure &amp; per-share</t>
  </si>
  <si>
    <t xml:space="preserve">Current share price, p</t>
  </si>
  <si>
    <t xml:space="preserve">Source: Yahoo Finance, live, 26 Jun 2026 (8:28 BST)</t>
  </si>
  <si>
    <t xml:space="preserve">Market capitalisation, GBP bn</t>
  </si>
  <si>
    <t xml:space="preserve">Source: Yahoo Finance, live, 26 Jun 2026</t>
  </si>
  <si>
    <t xml:space="preserve">Diluted shares outstanding, m</t>
  </si>
  <si>
    <t xml:space="preserve">Derived: market cap / price</t>
  </si>
  <si>
    <t xml:space="preserve">Net debt, 2025A, GBPm</t>
  </si>
  <si>
    <t xml:space="preserve">Source: Croda Finance Review 2025</t>
  </si>
  <si>
    <t xml:space="preserve">Net debt, 2024A, GBPm</t>
  </si>
  <si>
    <t xml:space="preserve">Source: Croda Finance Review 2025 (restated)</t>
  </si>
  <si>
    <t xml:space="preserve">Leverage, 2025A, x EBITDA</t>
  </si>
  <si>
    <t xml:space="preserve">Leverage, 2024A, x EBITDA</t>
  </si>
  <si>
    <t xml:space="preserve">Income Statement (GBPm unless stated)</t>
  </si>
  <si>
    <t xml:space="preserve">2024A-2025A actuals from Croda's own results disclosures. 2026E-2030E driven entirely from the Assumptions tab.</t>
  </si>
  <si>
    <t xml:space="preserve">Revenue</t>
  </si>
  <si>
    <t xml:space="preserve">Sourced: stockanalysis.com / Croda results (FY24 ~£1.63bn, FY25 ~£1.70bn)</t>
  </si>
  <si>
    <t xml:space="preserve">   % growth YoY</t>
  </si>
  <si>
    <t xml:space="preserve">Sourced: Croda Annual Report 2025 / Finance Review 2025</t>
  </si>
  <si>
    <t xml:space="preserve">Adjusted Operating Profit (EBIT)</t>
  </si>
  <si>
    <t xml:space="preserve">   D&amp;A</t>
  </si>
  <si>
    <t xml:space="preserve">2024A-2025A derived: (net debt / leverage) less EBIT - both co.-disclosed, avoids mixing in third-party EBITDA series</t>
  </si>
  <si>
    <t xml:space="preserve">EBITDA</t>
  </si>
  <si>
    <t xml:space="preserve">   Net interest &amp; other, net</t>
  </si>
  <si>
    <t xml:space="preserve">2025A derived: Adj. Operating Profit (£295m) less Adj. PBT (£276m), per Croda FY25 results</t>
  </si>
  <si>
    <t xml:space="preserve">Adjusted Profit Before Tax</t>
  </si>
  <si>
    <t xml:space="preserve">   Tax</t>
  </si>
  <si>
    <t xml:space="preserve">Adjusted Net Income</t>
  </si>
  <si>
    <t xml:space="preserve">Adjusted basic EPS, p</t>
  </si>
  <si>
    <t xml:space="preserve">2025A check: model approx 146p vs Croda-reported adjusted basic EPS of 146.2p</t>
  </si>
  <si>
    <t xml:space="preserve">Dividend per share, p</t>
  </si>
  <si>
    <t xml:space="preserve">2024A-2025A actual (110p, 111p). 2026E+ grown slower than EPS, gliding payout toward 40-50% policy band</t>
  </si>
  <si>
    <t xml:space="preserve">   Payout ratio, %</t>
  </si>
  <si>
    <t xml:space="preserve">Cash Flow (GBPm)</t>
  </si>
  <si>
    <t xml:space="preserve">2024A-2025A actuals shown as company-reported free cash flow. 2026E-2030E built bottom-up from the Income Statement and Assumptions.</t>
  </si>
  <si>
    <t xml:space="preserve">   + D&amp;A</t>
  </si>
  <si>
    <t xml:space="preserve">   - Capex</t>
  </si>
  <si>
    <t xml:space="preserve">2024A-2025A actual (Croda Finance Review 2025: £137.9m, £108.2m)</t>
  </si>
  <si>
    <t xml:space="preserve">   +/- Net working capital</t>
  </si>
  <si>
    <t xml:space="preserve">Not separately disclosed for 2024A-2025A; nil assumed (captured within reported FCF below)</t>
  </si>
  <si>
    <t xml:space="preserve">Free cash flow (model build-up)</t>
  </si>
  <si>
    <t xml:space="preserve">   Memo: free cash flow as reported</t>
  </si>
  <si>
    <t xml:space="preserve">Source: Croda Finance Review 2025. Model build-up above uses the same inputs as the rest of this workbook for consistency.</t>
  </si>
  <si>
    <t xml:space="preserve">   Dividends paid</t>
  </si>
  <si>
    <t xml:space="preserve">Free cash flow after dividends</t>
  </si>
  <si>
    <t xml:space="preserve">Balance Sheet (GBPm) - net debt roll-forward</t>
  </si>
  <si>
    <t xml:space="preserve">Scope limited to net debt, the item that drives the DCF bridge. A full statutory balance sheet needs receivables/payables/PP&amp;E detail not available from public disclosure alone.</t>
  </si>
  <si>
    <t xml:space="preserve">Net debt, opening</t>
  </si>
  <si>
    <t xml:space="preserve">n/a</t>
  </si>
  <si>
    <t xml:space="preserve">   (Free cash flow after dividends)</t>
  </si>
  <si>
    <t xml:space="preserve">Net debt, closing</t>
  </si>
  <si>
    <t xml:space="preserve">2024A-2025A actual (Croda Finance Review 2025); 2026E+ = opening less FCF after dividends</t>
  </si>
  <si>
    <t xml:space="preserve">Leverage check, x EBITDA</t>
  </si>
  <si>
    <t xml:space="preserve">Cross-check vs. Croda's own 1.3x (2025A) / 1.4x (2024A) disclosed leverage</t>
  </si>
  <si>
    <t xml:space="preserve">Discounted Cash Flow</t>
  </si>
  <si>
    <t xml:space="preserve">Unlevered FCFF discounted at WACC. 2026E-2030E explicit forecast, Gordon growth terminal value.</t>
  </si>
  <si>
    <t xml:space="preserve">   Tax on EBIT</t>
  </si>
  <si>
    <t xml:space="preserve">NOPAT</t>
  </si>
  <si>
    <t xml:space="preserve">Unlevered FCFF</t>
  </si>
  <si>
    <t xml:space="preserve">WACC</t>
  </si>
  <si>
    <t xml:space="preserve">WACC = (E/V) x Cost of equity + (D/V) x After-tax cost of debt</t>
  </si>
  <si>
    <t xml:space="preserve">   Terminal growth rate</t>
  </si>
  <si>
    <t xml:space="preserve">Discount period</t>
  </si>
  <si>
    <t xml:space="preserve">   Discount factor</t>
  </si>
  <si>
    <t xml:space="preserve">PV of FCFF</t>
  </si>
  <si>
    <t xml:space="preserve">Sum of PV, explicit period</t>
  </si>
  <si>
    <t xml:space="preserve">   Terminal value (at end of 2030E)</t>
  </si>
  <si>
    <t xml:space="preserve">   PV of terminal value</t>
  </si>
  <si>
    <t xml:space="preserve">Enterprise Value</t>
  </si>
  <si>
    <t xml:space="preserve">   Less: Net debt (2025A)</t>
  </si>
  <si>
    <t xml:space="preserve">Equity Value</t>
  </si>
  <si>
    <t xml:space="preserve">   Diluted shares, m</t>
  </si>
  <si>
    <t xml:space="preserve">Implied value per share</t>
  </si>
  <si>
    <t xml:space="preserve">   vs. current share price</t>
  </si>
  <si>
    <t xml:space="preserve">Sensitivity: implied value per share (p)</t>
  </si>
  <si>
    <t xml:space="preserve">Rows: WACC.  Columns: terminal growth rate. Each cell recomputes the full DCF at that WACC / g combination.</t>
  </si>
  <si>
    <t xml:space="preserve">Terminal growth -&gt;</t>
  </si>
  <si>
    <t xml:space="preserve">Trading Comparables</t>
  </si>
  <si>
    <t xml:space="preserve">Croda against three specialty ingredients peers. FX: $1.32/£, €1.17/£ (Croda's own disclosed average 2025 rates), CHF1.15/£ (assumption).</t>
  </si>
  <si>
    <t xml:space="preserve">Company</t>
  </si>
  <si>
    <t xml:space="preserve">Mkt Cap (£bn)</t>
  </si>
  <si>
    <t xml:space="preserve">Net Debt (£bn)</t>
  </si>
  <si>
    <t xml:space="preserve">EV (£bn)</t>
  </si>
  <si>
    <t xml:space="preserve">Revenue (£bn)</t>
  </si>
  <si>
    <t xml:space="preserve">EBITDA (£bn)</t>
  </si>
  <si>
    <t xml:space="preserve">EV / Revenue</t>
  </si>
  <si>
    <t xml:space="preserve">EV / EBITDA</t>
  </si>
  <si>
    <t xml:space="preserve">Adj. EPS (p)</t>
  </si>
  <si>
    <t xml:space="preserve">P / E (adj.)</t>
  </si>
  <si>
    <t xml:space="preserve">Croda International</t>
  </si>
  <si>
    <t xml:space="preserve">DSM-Firmenich</t>
  </si>
  <si>
    <t xml:space="preserve">Symrise</t>
  </si>
  <si>
    <t xml:space="preserve">Givaudan</t>
  </si>
  <si>
    <t xml:space="preserve">Sources: DSM-Firmenich — multiples.vc, Mar 2026. Symrise — Investing.com / PitchBook, Apr-Jun 2026 (P/E range 32x-44x across sources; 36x used as representative). Givaudan — PitchBook / Ad-Hoc-News, Jun 2026, P/E derived from CHF price and USD EPS.</t>
  </si>
  <si>
    <t xml:space="preserve">Average peer P/E (ex-Croda)</t>
  </si>
  <si>
    <t xml:space="preserve">Implied Croda value per share, peer P/E basis</t>
  </si>
  <si>
    <t xml:space="preserve">Implied Croda value per share, EV/EBITDA basis (DSM-Firmenich only)</t>
  </si>
  <si>
    <t xml:space="preserve">EV/EBITDA cross-check limited to one peer with cleanly disclosed net debt (DSM-Firmenich); P/E is the more reliable cross-peer comparison</t>
  </si>
  <si>
    <t xml:space="preserve">here given thinner net-debt disclosure for Symrise and Givaudan from public aggregators.</t>
  </si>
  <si>
    <t xml:space="preserve">Valuation Summary</t>
  </si>
  <si>
    <t xml:space="preserve">Where the DCF, the comps, the 52-week range, and the Street currently disagree on Croda.</t>
  </si>
  <si>
    <t xml:space="preserve">Method</t>
  </si>
  <si>
    <t xml:space="preserve">Low (p)</t>
  </si>
  <si>
    <t xml:space="preserve">High (p)</t>
  </si>
  <si>
    <t xml:space="preserve">Low (invisible base)</t>
  </si>
  <si>
    <t xml:space="preserve">Range (visible)</t>
  </si>
  <si>
    <t xml:space="preserve">52-week trading range</t>
  </si>
  <si>
    <t xml:space="preserve">DCF (WACC / growth sensitivity)</t>
  </si>
  <si>
    <t xml:space="preserve">Comps (peer P/E range applied to Croda EPS)</t>
  </si>
  <si>
    <t xml:space="preserve">Street analyst targets (low-high)</t>
  </si>
  <si>
    <t xml:space="preserve">Current price (marker)</t>
  </si>
  <si>
    <t xml:space="preserve">Reading this</t>
  </si>
  <si>
    <t xml:space="preserve">The DCF base case (2,741p) actually sits slightly below the current price, model conservatism, not a data error,</t>
  </si>
  <si>
    <t xml:space="preserve">driven by an 8.8% WACC and a 2% terminal growth rate. The wide sensitivity range (2,090p-3,932p) comfortably brackets</t>
  </si>
  <si>
    <t xml:space="preserve">the current price either way. Comps and Street analyst targets both point higher.</t>
  </si>
  <si>
    <t xml:space="preserve">The honest read: this is not a screaming bargain on a bottom-up DCF. The case for Croda rests more on the qualitative</t>
  </si>
  <si>
    <t xml:space="preserve">thesis, lipid platform durability and the Consumer Care recovery, than on the DCF alone, which is exactly why the</t>
  </si>
  <si>
    <t xml:space="preserve">equity note leads with the narrative rather than a single price target.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</si>
</sst>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\p"/>
    <numFmt numFmtId="166" formatCode="0.0%"/>
    <numFmt numFmtId="167" formatCode="#,##0.0;\(#,##0.0\);\-"/>
    <numFmt numFmtId="168" formatCode="0.00"/>
    <numFmt numFmtId="169" formatCode="0.0"/>
    <numFmt numFmtId="170" formatCode="0.0\x"/>
    <numFmt numFmtId="171" formatCode="0%"/>
    <numFmt numFmtId="172" formatCode="0.000"/>
    <numFmt numFmtId="173" formatCode="\+0.0%;\-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430"/>
      <name val="Arial"/>
      <family val="0"/>
      <charset val="1"/>
    </font>
    <font>
      <i val="true"/>
      <sz val="10"/>
      <color rgb="FF5C6470"/>
      <name val="Arial"/>
      <family val="0"/>
      <charset val="1"/>
    </font>
    <font>
      <b val="true"/>
      <sz val="11"/>
      <color rgb="FF1B2430"/>
      <name val="Arial"/>
      <family val="0"/>
      <charset val="1"/>
    </font>
    <font>
      <sz val="10"/>
      <color rgb="FF1B243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C6470"/>
      <name val="Arial"/>
      <family val="0"/>
      <charset val="1"/>
    </font>
    <font>
      <b val="true"/>
      <sz val="13"/>
      <color rgb="FF1B2430"/>
      <name val="Arial"/>
      <family val="0"/>
      <charset val="1"/>
    </font>
    <font>
      <i val="true"/>
      <sz val="9"/>
      <color rgb="FF5C647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F3EF"/>
        <bgColor rgb="FFFFF6D9"/>
      </patternFill>
    </fill>
    <fill>
      <patternFill patternType="solid">
        <fgColor rgb="FFFFF6D9"/>
        <bgColor rgb="FFF4F3E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44536"/>
      </bottom>
      <diagonal/>
    </border>
    <border diagonalUp="false" diagonalDown="false">
      <left/>
      <right/>
      <top/>
      <bottom style="thin">
        <color rgb="FFD9D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44536"/>
      <rgbColor rgb="FFFFF6D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5C9"/>
      <rgbColor rgb="FF3366FF"/>
      <rgbColor rgb="FF33CCCC"/>
      <rgbColor rgb="FF99CC00"/>
      <rgbColor rgb="FFFFCC00"/>
      <rgbColor rgb="FFFF9900"/>
      <rgbColor rgb="FFFF6600"/>
      <rgbColor rgb="FF5C6470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 — implied value per share (p)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Low (invisible base)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52-week trading range</c:v>
                </c:pt>
                <c:pt idx="1">
                  <c:v>DCF (WACC / growth sensitivity)</c:v>
                </c:pt>
                <c:pt idx="2">
                  <c:v>Comps (peer P/E range applied to Croda EPS)</c:v>
                </c:pt>
                <c:pt idx="3">
                  <c:v>Street analyst targets (low-high)</c:v>
                </c:pt>
                <c:pt idx="4">
                  <c:v>Current price (marker)</c:v>
                </c:pt>
              </c:strCache>
            </c:strRef>
          </c:cat>
          <c:val>
            <c:numRef>
              <c:f>Summary!$E$5:$E$9</c:f>
              <c:numCache>
                <c:formatCode>#,##0\p</c:formatCode>
                <c:ptCount val="5"/>
                <c:pt idx="0">
                  <c:v>2427</c:v>
                </c:pt>
                <c:pt idx="1">
                  <c:v>2090.29993199176</c:v>
                </c:pt>
                <c:pt idx="2">
                  <c:v>3027.73863612009</c:v>
                </c:pt>
                <c:pt idx="3">
                  <c:v>2865</c:v>
                </c:pt>
                <c:pt idx="4">
                  <c:v>3107</c:v>
                </c:pt>
              </c:numCache>
            </c:numRef>
          </c:val>
        </c:ser>
        <c:ser>
          <c:idx val="1"/>
          <c:order val="1"/>
          <c:tx>
            <c:strRef>
              <c:f>Summary!F4</c:f>
              <c:strCache>
                <c:ptCount val="1"/>
                <c:pt idx="0">
                  <c:v>Range (visible)</c:v>
                </c:pt>
              </c:strCache>
            </c:strRef>
          </c:tx>
          <c:spPr>
            <a:solidFill>
              <a:srgbClr val="c445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52-week trading range</c:v>
                </c:pt>
                <c:pt idx="1">
                  <c:v>DCF (WACC / growth sensitivity)</c:v>
                </c:pt>
                <c:pt idx="2">
                  <c:v>Comps (peer P/E range applied to Croda EPS)</c:v>
                </c:pt>
                <c:pt idx="3">
                  <c:v>Street analyst targets (low-high)</c:v>
                </c:pt>
                <c:pt idx="4">
                  <c:v>Current price (marker)</c:v>
                </c:pt>
              </c:strCache>
            </c:strRef>
          </c:cat>
          <c:val>
            <c:numRef>
              <c:f>Summary!$F$5:$F$9</c:f>
              <c:numCache>
                <c:formatCode>#,##0\p</c:formatCode>
                <c:ptCount val="5"/>
                <c:pt idx="0">
                  <c:v>885</c:v>
                </c:pt>
                <c:pt idx="1">
                  <c:v>1841.4576379474</c:v>
                </c:pt>
                <c:pt idx="2">
                  <c:v>2263.45509690531</c:v>
                </c:pt>
                <c:pt idx="3">
                  <c:v>2335</c:v>
                </c:pt>
                <c:pt idx="4">
                  <c:v>25</c:v>
                </c:pt>
              </c:numCache>
            </c:numRef>
          </c:val>
        </c:ser>
        <c:gapWidth val="60"/>
        <c:overlap val="100"/>
        <c:axId val="79462889"/>
        <c:axId val="59613204"/>
      </c:barChart>
      <c:catAx>
        <c:axId val="79462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3204"/>
        <c:crosses val="autoZero"/>
        <c:auto val="1"/>
        <c:lblAlgn val="ctr"/>
        <c:lblOffset val="100"/>
        <c:noMultiLvlLbl val="0"/>
      </c:catAx>
      <c:valAx>
        <c:axId val="596132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\p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62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4</xdr:col>
      <xdr:colOff>589320</xdr:colOff>
      <xdr:row>34</xdr:row>
      <xdr:rowOff>1080</xdr:rowOff>
    </xdr:to>
    <xdr:graphicFrame>
      <xdr:nvGraphicFramePr>
        <xdr:cNvPr id="0" name="Chart 1"/>
        <xdr:cNvGraphicFramePr/>
      </xdr:nvGraphicFramePr>
      <xdr:xfrm>
        <a:off x="0" y="33242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1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6"/>
    </row>
    <row r="11" customFormat="false" ht="15" hidden="false" customHeight="true" outlineLevel="0" collapsed="false">
      <c r="A11" s="6"/>
    </row>
    <row r="13" customFormat="false" ht="15" hidden="false" customHeight="true" outlineLevel="0" collapsed="false">
      <c r="A13" s="7" t="s">
        <v>8</v>
      </c>
    </row>
    <row r="14" customFormat="false" ht="15" hidden="false" customHeight="true" outlineLevel="0" collapsed="false">
      <c r="A14" s="6" t="s">
        <v>9</v>
      </c>
      <c r="B14" s="8" t="n">
        <v>3107</v>
      </c>
    </row>
    <row r="15" customFormat="false" ht="15" hidden="false" customHeight="true" outlineLevel="0" collapsed="false">
      <c r="A15" s="6" t="s">
        <v>10</v>
      </c>
      <c r="B15" s="9" t="n">
        <f aca="false">DCF!B27</f>
        <v>2741.1422425539</v>
      </c>
    </row>
    <row r="16" customFormat="false" ht="15" hidden="false" customHeight="true" outlineLevel="0" collapsed="false">
      <c r="A16" s="6" t="s">
        <v>11</v>
      </c>
      <c r="B16" s="9" t="n">
        <f aca="false">Comps!J12</f>
        <v>3841.01470989992</v>
      </c>
    </row>
    <row r="18" customFormat="false" ht="15" hidden="false" customHeight="true" outlineLevel="0" collapsed="false">
      <c r="A18" s="7" t="s">
        <v>12</v>
      </c>
    </row>
    <row r="19" customFormat="false" ht="15" hidden="false" customHeight="true" outlineLevel="0" collapsed="false">
      <c r="A19" s="10" t="s">
        <v>13</v>
      </c>
    </row>
    <row r="20" customFormat="false" ht="15" hidden="false" customHeight="true" outlineLevel="0" collapsed="false">
      <c r="A20" s="10" t="s">
        <v>14</v>
      </c>
    </row>
    <row r="21" customFormat="false" ht="15" hidden="false" customHeight="true" outlineLevel="0" collapsed="false">
      <c r="A21" s="10" t="s">
        <v>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1"/>
  </cols>
  <sheetData>
    <row r="1" customFormat="false" ht="15.75" hidden="false" customHeight="true" outlineLevel="0" collapsed="false">
      <c r="A1" s="11" t="s">
        <v>16</v>
      </c>
    </row>
    <row r="2" customFormat="false" ht="15" hidden="false" customHeight="true" outlineLevel="0" collapsed="false">
      <c r="A2" s="12" t="s">
        <v>17</v>
      </c>
    </row>
    <row r="4" customFormat="false" ht="15" hidden="false" customHeight="true" outlineLevel="0" collapsed="false">
      <c r="A4" s="7" t="s">
        <v>18</v>
      </c>
    </row>
    <row r="5" customFormat="false" ht="15" hidden="false" customHeight="true" outlineLevel="0" collapsed="false">
      <c r="B5" s="13" t="s">
        <v>19</v>
      </c>
      <c r="C5" s="13" t="s">
        <v>20</v>
      </c>
      <c r="D5" s="13" t="s">
        <v>21</v>
      </c>
      <c r="E5" s="13" t="s">
        <v>22</v>
      </c>
      <c r="F5" s="13" t="s">
        <v>23</v>
      </c>
      <c r="G5" s="13" t="s">
        <v>24</v>
      </c>
      <c r="H5" s="13" t="s">
        <v>25</v>
      </c>
    </row>
    <row r="6" customFormat="false" ht="15" hidden="false" customHeight="true" outlineLevel="0" collapsed="false">
      <c r="A6" s="6" t="s">
        <v>26</v>
      </c>
      <c r="D6" s="14" t="n">
        <v>0.04</v>
      </c>
      <c r="E6" s="14" t="n">
        <v>0.045</v>
      </c>
      <c r="F6" s="14" t="n">
        <v>0.05</v>
      </c>
      <c r="G6" s="14" t="n">
        <v>0.05</v>
      </c>
      <c r="H6" s="14" t="n">
        <v>0.05</v>
      </c>
    </row>
    <row r="7" customFormat="false" ht="15" hidden="false" customHeight="true" outlineLevel="0" collapsed="false">
      <c r="A7" s="6" t="s">
        <v>27</v>
      </c>
      <c r="D7" s="14" t="n">
        <v>0.182</v>
      </c>
      <c r="E7" s="14" t="n">
        <v>0.192</v>
      </c>
      <c r="F7" s="14" t="n">
        <v>0.202</v>
      </c>
      <c r="G7" s="14" t="n">
        <v>0.205</v>
      </c>
      <c r="H7" s="14" t="n">
        <v>0.208</v>
      </c>
      <c r="I7" s="10" t="s">
        <v>28</v>
      </c>
    </row>
    <row r="8" customFormat="false" ht="15" hidden="false" customHeight="true" outlineLevel="0" collapsed="false">
      <c r="A8" s="6" t="s">
        <v>29</v>
      </c>
      <c r="D8" s="14" t="n">
        <v>0.06</v>
      </c>
      <c r="E8" s="14" t="n">
        <v>0.06</v>
      </c>
      <c r="F8" s="14" t="n">
        <v>0.06</v>
      </c>
      <c r="G8" s="14" t="n">
        <v>0.06</v>
      </c>
      <c r="H8" s="14" t="n">
        <v>0.06</v>
      </c>
      <c r="I8" s="10" t="s">
        <v>30</v>
      </c>
    </row>
    <row r="9" customFormat="false" ht="15" hidden="false" customHeight="true" outlineLevel="0" collapsed="false">
      <c r="A9" s="6" t="s">
        <v>31</v>
      </c>
      <c r="D9" s="14" t="n">
        <v>0.0694</v>
      </c>
      <c r="E9" s="14" t="n">
        <v>0.065</v>
      </c>
      <c r="F9" s="14" t="n">
        <v>0.063</v>
      </c>
      <c r="G9" s="14" t="n">
        <v>0.061</v>
      </c>
      <c r="H9" s="14" t="n">
        <v>0.06</v>
      </c>
      <c r="I9" s="10" t="s">
        <v>32</v>
      </c>
    </row>
    <row r="10" customFormat="false" ht="15" hidden="false" customHeight="true" outlineLevel="0" collapsed="false">
      <c r="A10" s="6" t="s">
        <v>33</v>
      </c>
      <c r="D10" s="15" t="n">
        <v>-17</v>
      </c>
      <c r="E10" s="15" t="n">
        <v>-17</v>
      </c>
      <c r="F10" s="15" t="n">
        <v>-16</v>
      </c>
      <c r="G10" s="15" t="n">
        <v>0</v>
      </c>
      <c r="H10" s="15" t="n">
        <v>0</v>
      </c>
      <c r="I10" s="10" t="s">
        <v>34</v>
      </c>
    </row>
    <row r="11" customFormat="false" ht="15" hidden="false" customHeight="true" outlineLevel="0" collapsed="false">
      <c r="A11" s="6" t="s">
        <v>35</v>
      </c>
      <c r="D11" s="15" t="n">
        <v>18.5</v>
      </c>
      <c r="E11" s="15" t="n">
        <v>17.5</v>
      </c>
      <c r="F11" s="15" t="n">
        <v>16.5</v>
      </c>
      <c r="G11" s="15" t="n">
        <v>15.5</v>
      </c>
      <c r="H11" s="15" t="n">
        <v>15</v>
      </c>
      <c r="I11" s="10" t="s">
        <v>36</v>
      </c>
    </row>
    <row r="12" customFormat="false" ht="15" hidden="false" customHeight="true" outlineLevel="0" collapsed="false">
      <c r="A12" s="6" t="s">
        <v>37</v>
      </c>
      <c r="B12" s="14" t="n">
        <v>0.26</v>
      </c>
      <c r="I12" s="10" t="s">
        <v>38</v>
      </c>
    </row>
    <row r="14" customFormat="false" ht="15" hidden="false" customHeight="true" outlineLevel="0" collapsed="false">
      <c r="A14" s="7" t="s">
        <v>39</v>
      </c>
    </row>
    <row r="15" customFormat="false" ht="15" hidden="false" customHeight="true" outlineLevel="0" collapsed="false">
      <c r="A15" s="6" t="s">
        <v>40</v>
      </c>
      <c r="B15" s="14" t="n">
        <v>0.0475</v>
      </c>
      <c r="D15" s="10" t="s">
        <v>41</v>
      </c>
    </row>
    <row r="16" customFormat="false" ht="15" hidden="false" customHeight="true" outlineLevel="0" collapsed="false">
      <c r="A16" s="6" t="s">
        <v>42</v>
      </c>
      <c r="B16" s="16" t="n">
        <v>0.91</v>
      </c>
      <c r="D16" s="10" t="s">
        <v>43</v>
      </c>
    </row>
    <row r="17" customFormat="false" ht="15" hidden="false" customHeight="true" outlineLevel="0" collapsed="false">
      <c r="A17" s="6" t="s">
        <v>44</v>
      </c>
      <c r="B17" s="14" t="n">
        <v>0.05</v>
      </c>
      <c r="D17" s="10" t="s">
        <v>45</v>
      </c>
    </row>
    <row r="18" customFormat="false" ht="15" hidden="false" customHeight="true" outlineLevel="0" collapsed="false">
      <c r="A18" s="6" t="s">
        <v>46</v>
      </c>
      <c r="B18" s="14" t="n">
        <v>0.06</v>
      </c>
      <c r="D18" s="10" t="s">
        <v>47</v>
      </c>
    </row>
    <row r="19" customFormat="false" ht="15" hidden="false" customHeight="true" outlineLevel="0" collapsed="false">
      <c r="A19" s="6" t="s">
        <v>48</v>
      </c>
      <c r="B19" s="14" t="n">
        <v>0.02</v>
      </c>
      <c r="D19" s="10" t="s">
        <v>49</v>
      </c>
    </row>
    <row r="20" customFormat="false" ht="15" hidden="false" customHeight="true" outlineLevel="0" collapsed="false">
      <c r="A20" s="7" t="s">
        <v>50</v>
      </c>
      <c r="B20" s="17" t="n">
        <f aca="false">B15+B16*B17</f>
        <v>0.093</v>
      </c>
    </row>
    <row r="21" customFormat="false" ht="15" hidden="false" customHeight="true" outlineLevel="0" collapsed="false">
      <c r="A21" s="7" t="s">
        <v>51</v>
      </c>
      <c r="B21" s="18" t="n">
        <f aca="false">B18*(1-B12)</f>
        <v>0.0444</v>
      </c>
    </row>
    <row r="23" customFormat="false" ht="15" hidden="false" customHeight="true" outlineLevel="0" collapsed="false">
      <c r="A23" s="7" t="s">
        <v>52</v>
      </c>
    </row>
    <row r="24" customFormat="false" ht="15" hidden="false" customHeight="true" outlineLevel="0" collapsed="false">
      <c r="A24" s="6" t="s">
        <v>53</v>
      </c>
      <c r="B24" s="8" t="n">
        <v>3107</v>
      </c>
      <c r="D24" s="10" t="s">
        <v>54</v>
      </c>
    </row>
    <row r="25" customFormat="false" ht="15" hidden="false" customHeight="true" outlineLevel="0" collapsed="false">
      <c r="A25" s="6" t="s">
        <v>55</v>
      </c>
      <c r="B25" s="16" t="n">
        <v>4.33</v>
      </c>
      <c r="D25" s="10" t="s">
        <v>56</v>
      </c>
    </row>
    <row r="26" customFormat="false" ht="15" hidden="false" customHeight="true" outlineLevel="0" collapsed="false">
      <c r="A26" s="6" t="s">
        <v>57</v>
      </c>
      <c r="B26" s="19" t="n">
        <f aca="false">B25*1000/(B24/100)</f>
        <v>139.362729320888</v>
      </c>
      <c r="D26" s="10" t="s">
        <v>58</v>
      </c>
    </row>
    <row r="27" customFormat="false" ht="15" hidden="false" customHeight="true" outlineLevel="0" collapsed="false">
      <c r="A27" s="6" t="s">
        <v>59</v>
      </c>
      <c r="B27" s="15" t="n">
        <v>523.8</v>
      </c>
      <c r="D27" s="10" t="s">
        <v>60</v>
      </c>
    </row>
    <row r="28" customFormat="false" ht="15" hidden="false" customHeight="true" outlineLevel="0" collapsed="false">
      <c r="A28" s="6" t="s">
        <v>61</v>
      </c>
      <c r="B28" s="15" t="n">
        <v>532.3</v>
      </c>
      <c r="D28" s="10" t="s">
        <v>62</v>
      </c>
    </row>
    <row r="29" customFormat="false" ht="15" hidden="false" customHeight="true" outlineLevel="0" collapsed="false">
      <c r="A29" s="6" t="s">
        <v>63</v>
      </c>
      <c r="B29" s="20" t="n">
        <v>1.3</v>
      </c>
      <c r="D29" s="10" t="s">
        <v>60</v>
      </c>
    </row>
    <row r="30" customFormat="false" ht="15" hidden="false" customHeight="true" outlineLevel="0" collapsed="false">
      <c r="A30" s="6" t="s">
        <v>64</v>
      </c>
      <c r="B30" s="20" t="n">
        <v>1.4</v>
      </c>
      <c r="D30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1"/>
  </cols>
  <sheetData>
    <row r="1" customFormat="false" ht="15.75" hidden="false" customHeight="true" outlineLevel="0" collapsed="false">
      <c r="A1" s="11" t="s">
        <v>65</v>
      </c>
    </row>
    <row r="2" customFormat="false" ht="15" hidden="false" customHeight="true" outlineLevel="0" collapsed="false">
      <c r="A2" s="12" t="s">
        <v>66</v>
      </c>
    </row>
    <row r="4" customFormat="false" ht="15" hidden="false" customHeight="true" outlineLevel="0" collapsed="false"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</row>
    <row r="5" customFormat="false" ht="15" hidden="false" customHeight="true" outlineLevel="0" collapsed="false">
      <c r="A5" s="7" t="s">
        <v>67</v>
      </c>
      <c r="B5" s="15" t="n">
        <v>1630</v>
      </c>
      <c r="C5" s="15" t="n">
        <v>1700</v>
      </c>
      <c r="D5" s="21" t="n">
        <f aca="false">C5*(1+Assumptions!D6)</f>
        <v>1768</v>
      </c>
      <c r="E5" s="21" t="n">
        <f aca="false">D5*(1+Assumptions!E6)</f>
        <v>1847.56</v>
      </c>
      <c r="F5" s="21" t="n">
        <f aca="false">E5*(1+Assumptions!F6)</f>
        <v>1939.938</v>
      </c>
      <c r="G5" s="21" t="n">
        <f aca="false">F5*(1+Assumptions!G6)</f>
        <v>2036.9349</v>
      </c>
      <c r="H5" s="21" t="n">
        <f aca="false">G5*(1+Assumptions!H6)</f>
        <v>2138.781645</v>
      </c>
      <c r="I5" s="10" t="s">
        <v>68</v>
      </c>
    </row>
    <row r="6" customFormat="false" ht="15" hidden="false" customHeight="true" outlineLevel="0" collapsed="false">
      <c r="A6" s="6" t="s">
        <v>69</v>
      </c>
      <c r="C6" s="17" t="n">
        <f aca="false">C5/B5-1</f>
        <v>0.0429447852760736</v>
      </c>
      <c r="D6" s="17" t="n">
        <f aca="false">D5/C5-1</f>
        <v>0.04</v>
      </c>
      <c r="E6" s="17" t="n">
        <f aca="false">E5/D5-1</f>
        <v>0.0449999999999999</v>
      </c>
      <c r="F6" s="17" t="n">
        <f aca="false">F5/E5-1</f>
        <v>0.05</v>
      </c>
      <c r="G6" s="17" t="n">
        <f aca="false">G5/F5-1</f>
        <v>0.05</v>
      </c>
      <c r="H6" s="17" t="n">
        <f aca="false">H5/G5-1</f>
        <v>0.05</v>
      </c>
    </row>
    <row r="8" customFormat="false" ht="15" hidden="false" customHeight="true" outlineLevel="0" collapsed="false">
      <c r="A8" s="6" t="s">
        <v>27</v>
      </c>
      <c r="B8" s="14" t="n">
        <v>0.172</v>
      </c>
      <c r="C8" s="14" t="n">
        <v>0.174</v>
      </c>
      <c r="D8" s="18" t="n">
        <f aca="false">Assumptions!D7</f>
        <v>0.182</v>
      </c>
      <c r="E8" s="18" t="n">
        <f aca="false">Assumptions!E7</f>
        <v>0.192</v>
      </c>
      <c r="F8" s="18" t="n">
        <f aca="false">Assumptions!F7</f>
        <v>0.202</v>
      </c>
      <c r="G8" s="18" t="n">
        <f aca="false">Assumptions!G7</f>
        <v>0.205</v>
      </c>
      <c r="H8" s="18" t="n">
        <f aca="false">Assumptions!H7</f>
        <v>0.208</v>
      </c>
      <c r="I8" s="10" t="s">
        <v>70</v>
      </c>
    </row>
    <row r="9" customFormat="false" ht="15" hidden="false" customHeight="true" outlineLevel="0" collapsed="false">
      <c r="A9" s="7" t="s">
        <v>71</v>
      </c>
      <c r="B9" s="22" t="n">
        <f aca="false">B5*B8</f>
        <v>280.36</v>
      </c>
      <c r="C9" s="22" t="n">
        <f aca="false">C5*C8</f>
        <v>295.8</v>
      </c>
      <c r="D9" s="22" t="n">
        <f aca="false">D5*D8</f>
        <v>321.776</v>
      </c>
      <c r="E9" s="22" t="n">
        <f aca="false">E5*E8</f>
        <v>354.73152</v>
      </c>
      <c r="F9" s="22" t="n">
        <f aca="false">F5*F8</f>
        <v>391.867476</v>
      </c>
      <c r="G9" s="22" t="n">
        <f aca="false">G5*G8</f>
        <v>417.5716545</v>
      </c>
      <c r="H9" s="22" t="n">
        <f aca="false">H5*H8</f>
        <v>444.86658216</v>
      </c>
    </row>
    <row r="11" customFormat="false" ht="15" hidden="false" customHeight="true" outlineLevel="0" collapsed="false">
      <c r="A11" s="6" t="s">
        <v>72</v>
      </c>
      <c r="B11" s="21" t="n">
        <f aca="false">Assumptions!B28/Assumptions!B30-B9</f>
        <v>99.8542857142858</v>
      </c>
      <c r="C11" s="21" t="n">
        <f aca="false">Assumptions!B27/Assumptions!B29-C9</f>
        <v>107.123076923077</v>
      </c>
      <c r="D11" s="21" t="n">
        <f aca="false">D5*Assumptions!D9</f>
        <v>122.6992</v>
      </c>
      <c r="E11" s="21" t="n">
        <f aca="false">E5*Assumptions!E9</f>
        <v>120.0914</v>
      </c>
      <c r="F11" s="21" t="n">
        <f aca="false">F5*Assumptions!F9</f>
        <v>122.216094</v>
      </c>
      <c r="G11" s="21" t="n">
        <f aca="false">G5*Assumptions!G9</f>
        <v>124.2530289</v>
      </c>
      <c r="H11" s="21" t="n">
        <f aca="false">H5*Assumptions!H9</f>
        <v>128.3268987</v>
      </c>
      <c r="I11" s="10" t="s">
        <v>73</v>
      </c>
    </row>
    <row r="12" customFormat="false" ht="15" hidden="false" customHeight="true" outlineLevel="0" collapsed="false">
      <c r="A12" s="7" t="s">
        <v>74</v>
      </c>
      <c r="B12" s="22" t="n">
        <f aca="false">B9+B11</f>
        <v>380.214285714286</v>
      </c>
      <c r="C12" s="22" t="n">
        <f aca="false">C9+C11</f>
        <v>402.923076923077</v>
      </c>
      <c r="D12" s="22" t="n">
        <f aca="false">D9+D11</f>
        <v>444.4752</v>
      </c>
      <c r="E12" s="22" t="n">
        <f aca="false">E9+E11</f>
        <v>474.82292</v>
      </c>
      <c r="F12" s="22" t="n">
        <f aca="false">F9+F11</f>
        <v>514.08357</v>
      </c>
      <c r="G12" s="22" t="n">
        <f aca="false">G9+G11</f>
        <v>541.8246834</v>
      </c>
      <c r="H12" s="22" t="n">
        <f aca="false">H9+H11</f>
        <v>573.19348086</v>
      </c>
    </row>
    <row r="14" customFormat="false" ht="15" hidden="false" customHeight="true" outlineLevel="0" collapsed="false">
      <c r="A14" s="6" t="s">
        <v>75</v>
      </c>
      <c r="B14" s="15" t="n">
        <v>18</v>
      </c>
      <c r="C14" s="15" t="n">
        <v>19</v>
      </c>
      <c r="D14" s="21" t="n">
        <f aca="false">Assumptions!D11</f>
        <v>18.5</v>
      </c>
      <c r="E14" s="21" t="n">
        <f aca="false">Assumptions!E11</f>
        <v>17.5</v>
      </c>
      <c r="F14" s="21" t="n">
        <f aca="false">Assumptions!F11</f>
        <v>16.5</v>
      </c>
      <c r="G14" s="21" t="n">
        <f aca="false">Assumptions!G11</f>
        <v>15.5</v>
      </c>
      <c r="H14" s="21" t="n">
        <f aca="false">Assumptions!H11</f>
        <v>15</v>
      </c>
      <c r="I14" s="10" t="s">
        <v>76</v>
      </c>
    </row>
    <row r="15" customFormat="false" ht="15" hidden="false" customHeight="true" outlineLevel="0" collapsed="false">
      <c r="A15" s="7" t="s">
        <v>77</v>
      </c>
      <c r="B15" s="22" t="n">
        <f aca="false">B9-B14</f>
        <v>262.36</v>
      </c>
      <c r="C15" s="22" t="n">
        <f aca="false">C9-C14</f>
        <v>276.8</v>
      </c>
      <c r="D15" s="22" t="n">
        <f aca="false">D9-D14</f>
        <v>303.276</v>
      </c>
      <c r="E15" s="22" t="n">
        <f aca="false">E9-E14</f>
        <v>337.23152</v>
      </c>
      <c r="F15" s="22" t="n">
        <f aca="false">F9-F14</f>
        <v>375.367476</v>
      </c>
      <c r="G15" s="22" t="n">
        <f aca="false">G9-G14</f>
        <v>402.0716545</v>
      </c>
      <c r="H15" s="22" t="n">
        <f aca="false">H9-H14</f>
        <v>429.86658216</v>
      </c>
    </row>
    <row r="16" customFormat="false" ht="15" hidden="false" customHeight="true" outlineLevel="0" collapsed="false">
      <c r="A16" s="6" t="s">
        <v>78</v>
      </c>
      <c r="B16" s="21" t="n">
        <f aca="false">B15*Assumptions!$B$12</f>
        <v>68.2136</v>
      </c>
      <c r="C16" s="21" t="n">
        <f aca="false">C15*Assumptions!$B$12</f>
        <v>71.968</v>
      </c>
      <c r="D16" s="21" t="n">
        <f aca="false">D15*Assumptions!$B$12</f>
        <v>78.85176</v>
      </c>
      <c r="E16" s="21" t="n">
        <f aca="false">E15*Assumptions!$B$12</f>
        <v>87.6801952</v>
      </c>
      <c r="F16" s="21" t="n">
        <f aca="false">F15*Assumptions!$B$12</f>
        <v>97.59554376</v>
      </c>
      <c r="G16" s="21" t="n">
        <f aca="false">G15*Assumptions!$B$12</f>
        <v>104.53863017</v>
      </c>
      <c r="H16" s="21" t="n">
        <f aca="false">H15*Assumptions!$B$12</f>
        <v>111.7653113616</v>
      </c>
    </row>
    <row r="17" customFormat="false" ht="15" hidden="false" customHeight="true" outlineLevel="0" collapsed="false">
      <c r="A17" s="7" t="s">
        <v>79</v>
      </c>
      <c r="B17" s="22" t="n">
        <f aca="false">B15-B16</f>
        <v>194.1464</v>
      </c>
      <c r="C17" s="22" t="n">
        <f aca="false">C15-C16</f>
        <v>204.832</v>
      </c>
      <c r="D17" s="22" t="n">
        <f aca="false">D15-D16</f>
        <v>224.42424</v>
      </c>
      <c r="E17" s="22" t="n">
        <f aca="false">E15-E16</f>
        <v>249.5513248</v>
      </c>
      <c r="F17" s="22" t="n">
        <f aca="false">F15-F16</f>
        <v>277.77193224</v>
      </c>
      <c r="G17" s="22" t="n">
        <f aca="false">G15-G16</f>
        <v>297.53302433</v>
      </c>
      <c r="H17" s="22" t="n">
        <f aca="false">H15-H16</f>
        <v>318.1012707984</v>
      </c>
    </row>
    <row r="19" customFormat="false" ht="15" hidden="false" customHeight="true" outlineLevel="0" collapsed="false">
      <c r="A19" s="6" t="s">
        <v>80</v>
      </c>
      <c r="B19" s="9" t="n">
        <f aca="false">B17/Assumptions!$B$26*100</f>
        <v>139.310130438799</v>
      </c>
      <c r="C19" s="9" t="n">
        <f aca="false">C17/Assumptions!$B$26*100</f>
        <v>146.97760369515</v>
      </c>
      <c r="D19" s="9" t="n">
        <f aca="false">D17/Assumptions!$B$26*100</f>
        <v>161.036053967667</v>
      </c>
      <c r="E19" s="9" t="n">
        <f aca="false">E17/Assumptions!$B$26*100</f>
        <v>179.066042991594</v>
      </c>
      <c r="F19" s="9" t="n">
        <f aca="false">F17/Assumptions!$B$26*100</f>
        <v>199.315795258587</v>
      </c>
      <c r="G19" s="9" t="n">
        <f aca="false">G17/Assumptions!$B$26*100</f>
        <v>213.495405679748</v>
      </c>
      <c r="H19" s="9" t="n">
        <f aca="false">H17/Assumptions!$B$26*100</f>
        <v>228.254191309614</v>
      </c>
      <c r="I19" s="10" t="s">
        <v>81</v>
      </c>
    </row>
    <row r="20" customFormat="false" ht="15" hidden="false" customHeight="true" outlineLevel="0" collapsed="false">
      <c r="A20" s="6" t="s">
        <v>82</v>
      </c>
      <c r="B20" s="8" t="n">
        <v>110</v>
      </c>
      <c r="C20" s="8" t="n">
        <v>111</v>
      </c>
      <c r="D20" s="8" t="n">
        <v>114</v>
      </c>
      <c r="E20" s="8" t="n">
        <v>118</v>
      </c>
      <c r="F20" s="8" t="n">
        <v>122</v>
      </c>
      <c r="G20" s="8" t="n">
        <v>128</v>
      </c>
      <c r="H20" s="8" t="n">
        <v>134</v>
      </c>
      <c r="I20" s="10" t="s">
        <v>83</v>
      </c>
    </row>
    <row r="21" customFormat="false" ht="15" hidden="false" customHeight="true" outlineLevel="0" collapsed="false">
      <c r="A21" s="6" t="s">
        <v>84</v>
      </c>
      <c r="B21" s="23" t="n">
        <f aca="false">B20/B19</f>
        <v>0.789605175542669</v>
      </c>
      <c r="C21" s="23" t="n">
        <f aca="false">C20/C19</f>
        <v>0.755217102533716</v>
      </c>
      <c r="D21" s="23" t="n">
        <f aca="false">D20/D19</f>
        <v>0.707916005088455</v>
      </c>
      <c r="E21" s="23" t="n">
        <f aca="false">E20/E19</f>
        <v>0.658974744896438</v>
      </c>
      <c r="F21" s="23" t="n">
        <f aca="false">F20/F19</f>
        <v>0.612093988044052</v>
      </c>
      <c r="G21" s="23" t="n">
        <f aca="false">G20/G19</f>
        <v>0.599544517562149</v>
      </c>
      <c r="H21" s="23" t="n">
        <f aca="false">H20/H19</f>
        <v>0.587064794872645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1"/>
  </cols>
  <sheetData>
    <row r="1" customFormat="false" ht="15.75" hidden="false" customHeight="true" outlineLevel="0" collapsed="false">
      <c r="A1" s="11" t="s">
        <v>85</v>
      </c>
    </row>
    <row r="2" customFormat="false" ht="15" hidden="false" customHeight="true" outlineLevel="0" collapsed="false">
      <c r="A2" s="12" t="s">
        <v>86</v>
      </c>
    </row>
    <row r="4" customFormat="false" ht="15" hidden="false" customHeight="true" outlineLevel="0" collapsed="false"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</row>
    <row r="5" customFormat="false" ht="15" hidden="false" customHeight="true" outlineLevel="0" collapsed="false">
      <c r="A5" s="6" t="s">
        <v>79</v>
      </c>
      <c r="B5" s="21" t="n">
        <f aca="false">'Income Statement'!B17</f>
        <v>194.1464</v>
      </c>
      <c r="C5" s="21" t="n">
        <f aca="false">'Income Statement'!C17</f>
        <v>204.832</v>
      </c>
      <c r="D5" s="21" t="n">
        <f aca="false">'Income Statement'!D17</f>
        <v>224.42424</v>
      </c>
      <c r="E5" s="21" t="n">
        <f aca="false">'Income Statement'!E17</f>
        <v>249.5513248</v>
      </c>
      <c r="F5" s="21" t="n">
        <f aca="false">'Income Statement'!F17</f>
        <v>277.77193224</v>
      </c>
      <c r="G5" s="21" t="n">
        <f aca="false">'Income Statement'!G17</f>
        <v>297.53302433</v>
      </c>
      <c r="H5" s="21" t="n">
        <f aca="false">'Income Statement'!H17</f>
        <v>318.1012707984</v>
      </c>
    </row>
    <row r="6" customFormat="false" ht="15" hidden="false" customHeight="true" outlineLevel="0" collapsed="false">
      <c r="A6" s="6" t="s">
        <v>87</v>
      </c>
      <c r="B6" s="21" t="n">
        <f aca="false">'Income Statement'!B11</f>
        <v>99.8542857142858</v>
      </c>
      <c r="C6" s="21" t="n">
        <f aca="false">'Income Statement'!C11</f>
        <v>107.123076923077</v>
      </c>
      <c r="D6" s="21" t="n">
        <f aca="false">'Income Statement'!D11</f>
        <v>122.6992</v>
      </c>
      <c r="E6" s="21" t="n">
        <f aca="false">'Income Statement'!E11</f>
        <v>120.0914</v>
      </c>
      <c r="F6" s="21" t="n">
        <f aca="false">'Income Statement'!F11</f>
        <v>122.216094</v>
      </c>
      <c r="G6" s="21" t="n">
        <f aca="false">'Income Statement'!G11</f>
        <v>124.2530289</v>
      </c>
      <c r="H6" s="21" t="n">
        <f aca="false">'Income Statement'!H11</f>
        <v>128.3268987</v>
      </c>
    </row>
    <row r="7" customFormat="false" ht="15" hidden="false" customHeight="true" outlineLevel="0" collapsed="false">
      <c r="A7" s="6" t="s">
        <v>88</v>
      </c>
      <c r="B7" s="15" t="n">
        <v>137.9</v>
      </c>
      <c r="C7" s="15" t="n">
        <v>108.2</v>
      </c>
      <c r="D7" s="21" t="n">
        <f aca="false">'Income Statement'!D5*Assumptions!D8</f>
        <v>106.08</v>
      </c>
      <c r="E7" s="21" t="n">
        <f aca="false">'Income Statement'!E5*Assumptions!E8</f>
        <v>110.8536</v>
      </c>
      <c r="F7" s="21" t="n">
        <f aca="false">'Income Statement'!F5*Assumptions!F8</f>
        <v>116.39628</v>
      </c>
      <c r="G7" s="21" t="n">
        <f aca="false">'Income Statement'!G5*Assumptions!G8</f>
        <v>122.216094</v>
      </c>
      <c r="H7" s="21" t="n">
        <f aca="false">'Income Statement'!H5*Assumptions!H8</f>
        <v>128.3268987</v>
      </c>
      <c r="I7" s="10" t="s">
        <v>89</v>
      </c>
    </row>
    <row r="8" customFormat="false" ht="15" hidden="false" customHeight="true" outlineLevel="0" collapsed="false">
      <c r="A8" s="6" t="s">
        <v>90</v>
      </c>
      <c r="B8" s="24" t="n">
        <v>0</v>
      </c>
      <c r="C8" s="24" t="n">
        <v>0</v>
      </c>
      <c r="D8" s="21" t="n">
        <f aca="false">Assumptions!D10</f>
        <v>-17</v>
      </c>
      <c r="E8" s="21" t="n">
        <f aca="false">Assumptions!E10</f>
        <v>-17</v>
      </c>
      <c r="F8" s="21" t="n">
        <f aca="false">Assumptions!F10</f>
        <v>-16</v>
      </c>
      <c r="G8" s="21" t="n">
        <f aca="false">Assumptions!G10</f>
        <v>0</v>
      </c>
      <c r="H8" s="21" t="n">
        <f aca="false">Assumptions!H10</f>
        <v>0</v>
      </c>
      <c r="I8" s="10" t="s">
        <v>91</v>
      </c>
    </row>
    <row r="9" customFormat="false" ht="15" hidden="false" customHeight="true" outlineLevel="0" collapsed="false">
      <c r="A9" s="7" t="s">
        <v>92</v>
      </c>
      <c r="B9" s="22" t="n">
        <f aca="false">B5+B6-B7+B8</f>
        <v>156.100685714286</v>
      </c>
      <c r="C9" s="22" t="n">
        <f aca="false">C5+C6-C7+C8</f>
        <v>203.755076923077</v>
      </c>
      <c r="D9" s="22" t="n">
        <f aca="false">D5+D6-D7+D8</f>
        <v>224.04344</v>
      </c>
      <c r="E9" s="22" t="n">
        <f aca="false">E5+E6-E7+E8</f>
        <v>241.7891248</v>
      </c>
      <c r="F9" s="22" t="n">
        <f aca="false">F5+F6-F7+F8</f>
        <v>267.59174624</v>
      </c>
      <c r="G9" s="22" t="n">
        <f aca="false">G5+G6-G7+G8</f>
        <v>299.56995923</v>
      </c>
      <c r="H9" s="22" t="n">
        <f aca="false">H5+H6-H7+H8</f>
        <v>318.1012707984</v>
      </c>
    </row>
    <row r="10" customFormat="false" ht="15" hidden="false" customHeight="true" outlineLevel="0" collapsed="false">
      <c r="A10" s="6" t="s">
        <v>93</v>
      </c>
      <c r="B10" s="15" t="n">
        <v>169.6</v>
      </c>
      <c r="C10" s="15" t="n">
        <v>161.6</v>
      </c>
      <c r="I10" s="10" t="s">
        <v>94</v>
      </c>
    </row>
    <row r="12" customFormat="false" ht="15" hidden="false" customHeight="true" outlineLevel="0" collapsed="false">
      <c r="A12" s="6" t="s">
        <v>95</v>
      </c>
      <c r="B12" s="21" t="n">
        <f aca="false">'Income Statement'!B20/100*Assumptions!$B$26</f>
        <v>153.299002252977</v>
      </c>
      <c r="C12" s="21" t="n">
        <f aca="false">'Income Statement'!C20/100*Assumptions!$B$26</f>
        <v>154.692629546186</v>
      </c>
      <c r="D12" s="21" t="n">
        <f aca="false">'Income Statement'!D20/100*Assumptions!$B$26</f>
        <v>158.873511425813</v>
      </c>
      <c r="E12" s="21" t="n">
        <f aca="false">'Income Statement'!E20/100*Assumptions!$B$26</f>
        <v>164.448020598648</v>
      </c>
      <c r="F12" s="21" t="n">
        <f aca="false">'Income Statement'!F20/100*Assumptions!$B$26</f>
        <v>170.022529771484</v>
      </c>
      <c r="G12" s="21" t="n">
        <f aca="false">'Income Statement'!G20/100*Assumptions!$B$26</f>
        <v>178.384293530737</v>
      </c>
      <c r="H12" s="21" t="n">
        <f aca="false">'Income Statement'!H20/100*Assumptions!$B$26</f>
        <v>186.74605728999</v>
      </c>
    </row>
    <row r="13" customFormat="false" ht="15" hidden="false" customHeight="true" outlineLevel="0" collapsed="false">
      <c r="A13" s="7" t="s">
        <v>96</v>
      </c>
      <c r="B13" s="22" t="n">
        <f aca="false">B9-B12</f>
        <v>2.80168346130856</v>
      </c>
      <c r="C13" s="22" t="n">
        <f aca="false">C9-C12</f>
        <v>49.0624473768908</v>
      </c>
      <c r="D13" s="22" t="n">
        <f aca="false">D9-D12</f>
        <v>65.1699285741874</v>
      </c>
      <c r="E13" s="22" t="n">
        <f aca="false">E9-E12</f>
        <v>77.3411042013518</v>
      </c>
      <c r="F13" s="22" t="n">
        <f aca="false">F9-F12</f>
        <v>97.5692164685163</v>
      </c>
      <c r="G13" s="22" t="n">
        <f aca="false">G9-G12</f>
        <v>121.185665699263</v>
      </c>
      <c r="H13" s="22" t="n">
        <f aca="false">H9-H12</f>
        <v>131.35521350841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1"/>
  </cols>
  <sheetData>
    <row r="1" customFormat="false" ht="15.75" hidden="false" customHeight="true" outlineLevel="0" collapsed="false">
      <c r="A1" s="11" t="s">
        <v>97</v>
      </c>
    </row>
    <row r="2" customFormat="false" ht="15" hidden="false" customHeight="true" outlineLevel="0" collapsed="false">
      <c r="A2" s="12" t="s">
        <v>98</v>
      </c>
    </row>
    <row r="4" customFormat="false" ht="15" hidden="false" customHeight="true" outlineLevel="0" collapsed="false"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</row>
    <row r="5" customFormat="false" ht="15" hidden="false" customHeight="true" outlineLevel="0" collapsed="false">
      <c r="A5" s="6" t="s">
        <v>99</v>
      </c>
      <c r="B5" s="25" t="s">
        <v>100</v>
      </c>
      <c r="C5" s="22" t="n">
        <f aca="false">B7</f>
        <v>532.3</v>
      </c>
      <c r="D5" s="22" t="n">
        <f aca="false">C7</f>
        <v>523.8</v>
      </c>
      <c r="E5" s="22" t="n">
        <f aca="false">D7</f>
        <v>458.630071425813</v>
      </c>
      <c r="F5" s="22" t="n">
        <f aca="false">E7</f>
        <v>381.288967224461</v>
      </c>
      <c r="G5" s="22" t="n">
        <f aca="false">F7</f>
        <v>283.719750755944</v>
      </c>
      <c r="H5" s="22" t="n">
        <f aca="false">G7</f>
        <v>162.534085056682</v>
      </c>
    </row>
    <row r="6" customFormat="false" ht="15" hidden="false" customHeight="true" outlineLevel="0" collapsed="false">
      <c r="A6" s="6" t="s">
        <v>101</v>
      </c>
      <c r="B6" s="25" t="s">
        <v>100</v>
      </c>
      <c r="C6" s="21" t="n">
        <f aca="false">'Cash Flow'!C13</f>
        <v>49.0624473768908</v>
      </c>
      <c r="D6" s="21" t="n">
        <f aca="false">'Cash Flow'!D13</f>
        <v>65.1699285741874</v>
      </c>
      <c r="E6" s="21" t="n">
        <f aca="false">'Cash Flow'!E13</f>
        <v>77.3411042013518</v>
      </c>
      <c r="F6" s="21" t="n">
        <f aca="false">'Cash Flow'!F13</f>
        <v>97.5692164685163</v>
      </c>
      <c r="G6" s="21" t="n">
        <f aca="false">'Cash Flow'!G13</f>
        <v>121.185665699263</v>
      </c>
      <c r="H6" s="21" t="n">
        <f aca="false">'Cash Flow'!H13</f>
        <v>131.35521350841</v>
      </c>
    </row>
    <row r="7" customFormat="false" ht="15" hidden="false" customHeight="true" outlineLevel="0" collapsed="false">
      <c r="A7" s="7" t="s">
        <v>102</v>
      </c>
      <c r="B7" s="15" t="n">
        <v>532.3</v>
      </c>
      <c r="C7" s="15" t="n">
        <v>523.8</v>
      </c>
      <c r="D7" s="22" t="n">
        <f aca="false">D5-D6</f>
        <v>458.630071425813</v>
      </c>
      <c r="E7" s="22" t="n">
        <f aca="false">E5-E6</f>
        <v>381.288967224461</v>
      </c>
      <c r="F7" s="22" t="n">
        <f aca="false">F5-F6</f>
        <v>283.719750755944</v>
      </c>
      <c r="G7" s="22" t="n">
        <f aca="false">G5-G6</f>
        <v>162.534085056682</v>
      </c>
      <c r="H7" s="22" t="n">
        <f aca="false">H5-H6</f>
        <v>31.1788715482718</v>
      </c>
      <c r="I7" s="10" t="s">
        <v>103</v>
      </c>
    </row>
    <row r="9" customFormat="false" ht="15" hidden="false" customHeight="true" outlineLevel="0" collapsed="false">
      <c r="A9" s="6" t="s">
        <v>104</v>
      </c>
      <c r="B9" s="26" t="n">
        <f aca="false">B7/'Income Statement'!B12</f>
        <v>1.4</v>
      </c>
      <c r="C9" s="26" t="n">
        <f aca="false">C7/'Income Statement'!C12</f>
        <v>1.3</v>
      </c>
      <c r="D9" s="26" t="n">
        <f aca="false">D7/'Income Statement'!D12</f>
        <v>1.0318462569471</v>
      </c>
      <c r="E9" s="26" t="n">
        <f aca="false">E7/'Income Statement'!E12</f>
        <v>0.803012978447756</v>
      </c>
      <c r="F9" s="26" t="n">
        <f aca="false">F7/'Income Statement'!F12</f>
        <v>0.551894219758753</v>
      </c>
      <c r="G9" s="26" t="n">
        <f aca="false">G7/'Income Statement'!G12</f>
        <v>0.299975416470075</v>
      </c>
      <c r="H9" s="26" t="n">
        <f aca="false">H7/'Income Statement'!H12</f>
        <v>0.0543950212090551</v>
      </c>
      <c r="I9" s="1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3"/>
    <col collapsed="false" customWidth="true" hidden="false" outlineLevel="0" max="7" min="7" style="1" width="4"/>
    <col collapsed="false" customWidth="true" hidden="false" outlineLevel="0" max="9" min="8" style="1" width="13"/>
  </cols>
  <sheetData>
    <row r="1" customFormat="false" ht="15.75" hidden="false" customHeight="true" outlineLevel="0" collapsed="false">
      <c r="A1" s="11" t="s">
        <v>106</v>
      </c>
    </row>
    <row r="2" customFormat="false" ht="15" hidden="false" customHeight="true" outlineLevel="0" collapsed="false">
      <c r="A2" s="12" t="s">
        <v>107</v>
      </c>
    </row>
    <row r="4" customFormat="false" ht="15" hidden="false" customHeight="true" outlineLevel="0" collapsed="false"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</row>
    <row r="5" customFormat="false" ht="15" hidden="false" customHeight="true" outlineLevel="0" collapsed="false">
      <c r="A5" s="6" t="s">
        <v>71</v>
      </c>
      <c r="B5" s="21" t="n">
        <f aca="false">'Income Statement'!D9</f>
        <v>321.776</v>
      </c>
      <c r="C5" s="21" t="n">
        <f aca="false">'Income Statement'!E9</f>
        <v>354.73152</v>
      </c>
      <c r="D5" s="21" t="n">
        <f aca="false">'Income Statement'!F9</f>
        <v>391.867476</v>
      </c>
      <c r="E5" s="21" t="n">
        <f aca="false">'Income Statement'!G9</f>
        <v>417.5716545</v>
      </c>
      <c r="F5" s="21" t="n">
        <f aca="false">'Income Statement'!H9</f>
        <v>444.86658216</v>
      </c>
    </row>
    <row r="6" customFormat="false" ht="15" hidden="false" customHeight="true" outlineLevel="0" collapsed="false">
      <c r="A6" s="6" t="s">
        <v>108</v>
      </c>
      <c r="B6" s="21" t="n">
        <f aca="false">B5*Assumptions!$B$12</f>
        <v>83.66176</v>
      </c>
      <c r="C6" s="21" t="n">
        <f aca="false">C5*Assumptions!$B$12</f>
        <v>92.2301952</v>
      </c>
      <c r="D6" s="21" t="n">
        <f aca="false">D5*Assumptions!$B$12</f>
        <v>101.88554376</v>
      </c>
      <c r="E6" s="21" t="n">
        <f aca="false">E5*Assumptions!$B$12</f>
        <v>108.56863017</v>
      </c>
      <c r="F6" s="21" t="n">
        <f aca="false">F5*Assumptions!$B$12</f>
        <v>115.6653113616</v>
      </c>
    </row>
    <row r="7" customFormat="false" ht="15" hidden="false" customHeight="true" outlineLevel="0" collapsed="false">
      <c r="A7" s="7" t="s">
        <v>109</v>
      </c>
      <c r="B7" s="22" t="n">
        <f aca="false">B5-B6</f>
        <v>238.11424</v>
      </c>
      <c r="C7" s="22" t="n">
        <f aca="false">C5-C6</f>
        <v>262.5013248</v>
      </c>
      <c r="D7" s="22" t="n">
        <f aca="false">D5-D6</f>
        <v>289.98193224</v>
      </c>
      <c r="E7" s="22" t="n">
        <f aca="false">E5-E6</f>
        <v>309.00302433</v>
      </c>
      <c r="F7" s="22" t="n">
        <f aca="false">F5-F6</f>
        <v>329.2012707984</v>
      </c>
    </row>
    <row r="8" customFormat="false" ht="15" hidden="false" customHeight="true" outlineLevel="0" collapsed="false">
      <c r="A8" s="6" t="s">
        <v>87</v>
      </c>
      <c r="B8" s="21" t="n">
        <f aca="false">'Income Statement'!D11</f>
        <v>122.6992</v>
      </c>
      <c r="C8" s="21" t="n">
        <f aca="false">'Income Statement'!E11</f>
        <v>120.0914</v>
      </c>
      <c r="D8" s="21" t="n">
        <f aca="false">'Income Statement'!F11</f>
        <v>122.216094</v>
      </c>
      <c r="E8" s="21" t="n">
        <f aca="false">'Income Statement'!G11</f>
        <v>124.2530289</v>
      </c>
      <c r="F8" s="21" t="n">
        <f aca="false">'Income Statement'!H11</f>
        <v>128.3268987</v>
      </c>
    </row>
    <row r="9" customFormat="false" ht="15" hidden="false" customHeight="true" outlineLevel="0" collapsed="false">
      <c r="A9" s="6" t="s">
        <v>88</v>
      </c>
      <c r="B9" s="21" t="n">
        <f aca="false">'Cash Flow'!D7</f>
        <v>106.08</v>
      </c>
      <c r="C9" s="21" t="n">
        <f aca="false">'Cash Flow'!E7</f>
        <v>110.8536</v>
      </c>
      <c r="D9" s="21" t="n">
        <f aca="false">'Cash Flow'!F7</f>
        <v>116.39628</v>
      </c>
      <c r="E9" s="21" t="n">
        <f aca="false">'Cash Flow'!G7</f>
        <v>122.216094</v>
      </c>
      <c r="F9" s="21" t="n">
        <f aca="false">'Cash Flow'!H7</f>
        <v>128.3268987</v>
      </c>
    </row>
    <row r="10" customFormat="false" ht="15" hidden="false" customHeight="true" outlineLevel="0" collapsed="false">
      <c r="A10" s="6" t="s">
        <v>90</v>
      </c>
      <c r="B10" s="21" t="n">
        <f aca="false">Assumptions!D10</f>
        <v>-17</v>
      </c>
      <c r="C10" s="21" t="n">
        <f aca="false">Assumptions!E10</f>
        <v>-17</v>
      </c>
      <c r="D10" s="21" t="n">
        <f aca="false">Assumptions!F10</f>
        <v>-16</v>
      </c>
      <c r="E10" s="21" t="n">
        <f aca="false">Assumptions!G10</f>
        <v>0</v>
      </c>
      <c r="F10" s="21" t="n">
        <f aca="false">Assumptions!H10</f>
        <v>0</v>
      </c>
    </row>
    <row r="11" customFormat="false" ht="15" hidden="false" customHeight="true" outlineLevel="0" collapsed="false">
      <c r="A11" s="7" t="s">
        <v>110</v>
      </c>
      <c r="B11" s="27" t="n">
        <f aca="false">B7+B8-B9+B10</f>
        <v>237.73344</v>
      </c>
      <c r="C11" s="27" t="n">
        <f aca="false">C7+C8-C9+C10</f>
        <v>254.7391248</v>
      </c>
      <c r="D11" s="27" t="n">
        <f aca="false">D7+D8-D9+D10</f>
        <v>279.80174624</v>
      </c>
      <c r="E11" s="27" t="n">
        <f aca="false">E7+E8-E9+E10</f>
        <v>311.03995923</v>
      </c>
      <c r="F11" s="27" t="n">
        <f aca="false">F7+F8-F9+F10</f>
        <v>329.2012707984</v>
      </c>
    </row>
    <row r="13" customFormat="false" ht="15" hidden="false" customHeight="true" outlineLevel="0" collapsed="false">
      <c r="A13" s="7" t="s">
        <v>111</v>
      </c>
      <c r="B13" s="18" t="n">
        <f aca="false">(Assumptions!B25*1000/(Assumptions!B25*1000+Assumptions!B27))*Assumptions!B20+(Assumptions!B27/(Assumptions!B25*1000+Assumptions!B27))*Assumptions!B21</f>
        <v>0.0877553092422432</v>
      </c>
      <c r="D13" s="10" t="s">
        <v>112</v>
      </c>
    </row>
    <row r="14" customFormat="false" ht="15" hidden="false" customHeight="true" outlineLevel="0" collapsed="false">
      <c r="A14" s="6" t="s">
        <v>113</v>
      </c>
      <c r="B14" s="18" t="n">
        <f aca="false">Assumptions!B19</f>
        <v>0.02</v>
      </c>
    </row>
    <row r="16" customFormat="false" ht="15" hidden="false" customHeight="true" outlineLevel="0" collapsed="false">
      <c r="A16" s="6" t="s">
        <v>114</v>
      </c>
      <c r="B16" s="6" t="n">
        <v>1</v>
      </c>
      <c r="C16" s="6" t="n">
        <v>2</v>
      </c>
      <c r="D16" s="6" t="n">
        <v>3</v>
      </c>
      <c r="E16" s="6" t="n">
        <v>4</v>
      </c>
      <c r="F16" s="6" t="n">
        <v>5</v>
      </c>
    </row>
    <row r="17" customFormat="false" ht="15" hidden="false" customHeight="true" outlineLevel="0" collapsed="false">
      <c r="A17" s="6" t="s">
        <v>115</v>
      </c>
      <c r="B17" s="28" t="n">
        <f aca="false">1/(1+$B$13)^B16</f>
        <v>0.91932440274332</v>
      </c>
      <c r="C17" s="28" t="n">
        <f aca="false">1/(1+$B$13)^C16</f>
        <v>0.845157357479361</v>
      </c>
      <c r="D17" s="28" t="n">
        <f aca="false">1/(1+$B$13)^D16</f>
        <v>0.776973782888836</v>
      </c>
      <c r="E17" s="28" t="n">
        <f aca="false">1/(1+$B$13)^E16</f>
        <v>0.714290958901497</v>
      </c>
      <c r="F17" s="28" t="n">
        <f aca="false">1/(1+$B$13)^F16</f>
        <v>0.656665109177071</v>
      </c>
    </row>
    <row r="18" customFormat="false" ht="15" hidden="false" customHeight="true" outlineLevel="0" collapsed="false">
      <c r="A18" s="7" t="s">
        <v>116</v>
      </c>
      <c r="B18" s="22" t="n">
        <f aca="false">B11*B17</f>
        <v>218.554152740115</v>
      </c>
      <c r="C18" s="22" t="n">
        <f aca="false">C11*C17</f>
        <v>215.294645562573</v>
      </c>
      <c r="D18" s="22" t="n">
        <f aca="false">D11*D17</f>
        <v>217.398621234995</v>
      </c>
      <c r="E18" s="22" t="n">
        <f aca="false">E11*E17</f>
        <v>222.173030735079</v>
      </c>
      <c r="F18" s="22" t="n">
        <f aca="false">F11*F17</f>
        <v>216.174988430062</v>
      </c>
    </row>
    <row r="20" customFormat="false" ht="15" hidden="false" customHeight="true" outlineLevel="0" collapsed="false">
      <c r="A20" s="7" t="s">
        <v>117</v>
      </c>
      <c r="B20" s="22" t="n">
        <f aca="false">SUM(B18:F18)</f>
        <v>1089.59543870282</v>
      </c>
    </row>
    <row r="21" customFormat="false" ht="15" hidden="false" customHeight="true" outlineLevel="0" collapsed="false">
      <c r="A21" s="6" t="s">
        <v>118</v>
      </c>
      <c r="B21" s="22" t="n">
        <f aca="false">F11*(1+B14)/(B13-B14)</f>
        <v>4955.85216818724</v>
      </c>
    </row>
    <row r="22" customFormat="false" ht="15" hidden="false" customHeight="true" outlineLevel="0" collapsed="false">
      <c r="A22" s="6" t="s">
        <v>119</v>
      </c>
      <c r="B22" s="22" t="n">
        <f aca="false">B21*F17</f>
        <v>3254.3352050881</v>
      </c>
    </row>
    <row r="23" customFormat="false" ht="15" hidden="false" customHeight="true" outlineLevel="0" collapsed="false">
      <c r="A23" s="7" t="s">
        <v>120</v>
      </c>
      <c r="B23" s="27" t="n">
        <f aca="false">B20+B22</f>
        <v>4343.93064379093</v>
      </c>
    </row>
    <row r="24" customFormat="false" ht="15" hidden="false" customHeight="true" outlineLevel="0" collapsed="false">
      <c r="A24" s="6" t="s">
        <v>121</v>
      </c>
      <c r="B24" s="21" t="n">
        <f aca="false">Assumptions!B27</f>
        <v>523.8</v>
      </c>
    </row>
    <row r="25" customFormat="false" ht="15" hidden="false" customHeight="true" outlineLevel="0" collapsed="false">
      <c r="A25" s="7" t="s">
        <v>122</v>
      </c>
      <c r="B25" s="22" t="n">
        <f aca="false">B23-B24</f>
        <v>3820.13064379093</v>
      </c>
    </row>
    <row r="26" customFormat="false" ht="15" hidden="false" customHeight="true" outlineLevel="0" collapsed="false">
      <c r="A26" s="6" t="s">
        <v>123</v>
      </c>
      <c r="B26" s="29" t="n">
        <f aca="false">Assumptions!B26</f>
        <v>139.362729320888</v>
      </c>
    </row>
    <row r="27" customFormat="false" ht="15" hidden="false" customHeight="true" outlineLevel="0" collapsed="false">
      <c r="A27" s="7" t="s">
        <v>124</v>
      </c>
      <c r="B27" s="30" t="n">
        <f aca="false">B25/B26*100</f>
        <v>2741.1422425539</v>
      </c>
    </row>
    <row r="28" customFormat="false" ht="15" hidden="false" customHeight="true" outlineLevel="0" collapsed="false">
      <c r="A28" s="6" t="s">
        <v>125</v>
      </c>
      <c r="B28" s="31" t="n">
        <f aca="false">B27/Assumptions!B24-1</f>
        <v>-0.117752738154521</v>
      </c>
    </row>
    <row r="30" customFormat="false" ht="15" hidden="false" customHeight="true" outlineLevel="0" collapsed="false">
      <c r="A30" s="7" t="s">
        <v>126</v>
      </c>
    </row>
    <row r="31" customFormat="false" ht="15" hidden="false" customHeight="true" outlineLevel="0" collapsed="false">
      <c r="A31" s="10" t="s">
        <v>127</v>
      </c>
    </row>
    <row r="32" customFormat="false" ht="15" hidden="false" customHeight="true" outlineLevel="0" collapsed="false">
      <c r="B32" s="25" t="s">
        <v>128</v>
      </c>
      <c r="C32" s="32" t="n">
        <f aca="false">$B$14+(-0.01)</f>
        <v>0.01</v>
      </c>
      <c r="D32" s="32" t="n">
        <f aca="false">$B$14+(-0.005)</f>
        <v>0.015</v>
      </c>
      <c r="E32" s="32" t="n">
        <f aca="false">$B$14+(0)</f>
        <v>0.02</v>
      </c>
      <c r="F32" s="32" t="n">
        <f aca="false">$B$14+(0.005)</f>
        <v>0.025</v>
      </c>
      <c r="G32" s="32" t="n">
        <f aca="false">$B$14+(0.01)</f>
        <v>0.03</v>
      </c>
    </row>
    <row r="33" customFormat="false" ht="15" hidden="false" customHeight="true" outlineLevel="0" collapsed="false">
      <c r="B33" s="33" t="n">
        <f aca="false">$B$13+(-0.01)</f>
        <v>0.0777553092422432</v>
      </c>
      <c r="C33" s="34" t="n">
        <f aca="false">((B11/(1+$B33)^1+C11/(1+$B33)^2+D11/(1+$B33)^3+E11/(1+$B33)^4+F11/(1+$B33)^5+(F11*(1+C$32)/($B33-C$32))/(1+$B33)^5)-B24)/B26*100</f>
        <v>2849.57838002909</v>
      </c>
      <c r="D33" s="34" t="n">
        <f aca="false">((B11/(1+$B33)^1+C11/(1+$B33)^2+D11/(1+$B33)^3+E11/(1+$B33)^4+F11/(1+$B33)^5+(F11*(1+D$32)/($B33-D$32))/(1+$B33)^5)-B24)/B26*100</f>
        <v>3055.45658576856</v>
      </c>
      <c r="E33" s="34" t="n">
        <f aca="false">((B11/(1+$B33)^1+C11/(1+$B33)^2+D11/(1+$B33)^3+E11/(1+$B33)^4+F11/(1+$B33)^5+(F11*(1+E$32)/($B33-E$32))/(1+$B33)^5)-B24)/B26*100</f>
        <v>3296.98142009346</v>
      </c>
      <c r="F33" s="34" t="n">
        <f aca="false">((B11/(1+$B33)^1+C11/(1+$B33)^2+D11/(1+$B33)^3+E11/(1+$B33)^4+F11/(1+$B33)^5+(F11*(1+F$32)/($B33-F$32))/(1+$B33)^5)-B24)/B26*100</f>
        <v>3584.28834494045</v>
      </c>
      <c r="G33" s="34" t="n">
        <f aca="false">((B11/(1+$B33)^1+C11/(1+$B33)^2+D11/(1+$B33)^3+E11/(1+$B33)^4+F11/(1+$B33)^5+(F11*(1+G$32)/($B33-G$32))/(1+$B33)^5)-B24)/B26*100</f>
        <v>3931.75756993915</v>
      </c>
    </row>
    <row r="34" customFormat="false" ht="15" hidden="false" customHeight="true" outlineLevel="0" collapsed="false">
      <c r="B34" s="33" t="n">
        <f aca="false">$B$13+(-0.005)</f>
        <v>0.0827553092422432</v>
      </c>
      <c r="C34" s="34" t="n">
        <f aca="false">((B11/(1+$B34)^1+C11/(1+$B34)^2+D11/(1+$B34)^3+E11/(1+$B34)^4+F11/(1+$B34)^5+(F11*(1+C$32)/($B34-C$32))/(1+$B34)^5)-B24)/B26*100</f>
        <v>2620.42780595683</v>
      </c>
      <c r="D34" s="34" t="n">
        <f aca="false">((B11/(1+$B34)^1+C11/(1+$B34)^2+D11/(1+$B34)^3+E11/(1+$B34)^4+F11/(1+$B34)^5+(F11*(1+D$32)/($B34-D$32))/(1+$B34)^5)-B24)/B26*100</f>
        <v>2794.75115212454</v>
      </c>
      <c r="E34" s="34" t="n">
        <f aca="false">((B11/(1+$B34)^1+C11/(1+$B34)^2+D11/(1+$B34)^3+E11/(1+$B34)^4+F11/(1+$B34)^5+(F11*(1+E$32)/($B34-E$32))/(1+$B34)^5)-B24)/B26*100</f>
        <v>2996.85276092416</v>
      </c>
      <c r="F34" s="34" t="n">
        <f aca="false">((B11/(1+$B34)^1+C11/(1+$B34)^2+D11/(1+$B34)^3+E11/(1+$B34)^4+F11/(1+$B34)^5+(F11*(1+F$32)/($B34-F$32))/(1+$B34)^5)-B24)/B26*100</f>
        <v>3233.94710224502</v>
      </c>
      <c r="G34" s="34" t="n">
        <f aca="false">((B11/(1+$B34)^1+C11/(1+$B34)^2+D11/(1+$B34)^3+E11/(1+$B34)^4+F11/(1+$B34)^5+(F11*(1+G$32)/($B34-G$32))/(1+$B34)^5)-B24)/B26*100</f>
        <v>3515.98371472805</v>
      </c>
    </row>
    <row r="35" customFormat="false" ht="15" hidden="false" customHeight="true" outlineLevel="0" collapsed="false">
      <c r="B35" s="33" t="n">
        <f aca="false">$B$13+(0)</f>
        <v>0.0877553092422432</v>
      </c>
      <c r="C35" s="34" t="n">
        <f aca="false">((B11/(1+$B35)^1+C11/(1+$B35)^2+D11/(1+$B35)^3+E11/(1+$B35)^4+F11/(1+$B35)^5+(F11*(1+C$32)/($B35-C$32))/(1+$B35)^5)-B24)/B26*100</f>
        <v>2420.87197079915</v>
      </c>
      <c r="D35" s="34" t="n">
        <f aca="false">((B11/(1+$B35)^1+C11/(1+$B35)^2+D11/(1+$B35)^3+E11/(1+$B35)^4+F11/(1+$B35)^5+(F11*(1+D$32)/($B35-D$32))/(1+$B35)^5)-B24)/B26*100</f>
        <v>2570.00205855391</v>
      </c>
      <c r="E35" s="34" t="n">
        <f aca="false">((B11/(1+$B35)^1+C11/(1+$B35)^2+D11/(1+$B35)^3+E11/(1+$B35)^4+F11/(1+$B35)^5+(F11*(1+E$32)/($B35-E$32))/(1+$B35)^5)-B24)/B26*100</f>
        <v>2741.14224255391</v>
      </c>
      <c r="F35" s="34" t="n">
        <f aca="false">((B11/(1+$B35)^1+C11/(1+$B35)^2+D11/(1+$B35)^3+E11/(1+$B35)^4+F11/(1+$B35)^5+(F11*(1+F$32)/($B35-F$32))/(1+$B35)^5)-B24)/B26*100</f>
        <v>2939.5534552631</v>
      </c>
      <c r="G35" s="34" t="n">
        <f aca="false">((B11/(1+$B35)^1+C11/(1+$B35)^2+D11/(1+$B35)^3+E11/(1+$B35)^4+F11/(1+$B35)^5+(F11*(1+G$32)/($B35-G$32))/(1+$B35)^5)-B24)/B26*100</f>
        <v>3172.31842961124</v>
      </c>
    </row>
    <row r="36" customFormat="false" ht="15" hidden="false" customHeight="true" outlineLevel="0" collapsed="false">
      <c r="B36" s="33" t="n">
        <f aca="false">$B$13+(0.005)</f>
        <v>0.0927553092422432</v>
      </c>
      <c r="C36" s="34" t="n">
        <f aca="false">((B11/(1+$B36)^1+C11/(1+$B36)^2+D11/(1+$B36)^3+E11/(1+$B36)^4+F11/(1+$B36)^5+(F11*(1+C$32)/($B36-C$32))/(1+$B36)^5)-B24)/B26*100</f>
        <v>2245.54391945828</v>
      </c>
      <c r="D36" s="34" t="n">
        <f aca="false">((B11/(1+$B36)^1+C11/(1+$B36)^2+D11/(1+$B36)^3+E11/(1+$B36)^4+F11/(1+$B36)^5+(F11*(1+D$32)/($B36-D$32))/(1+$B36)^5)-B24)/B26*100</f>
        <v>2374.27020703481</v>
      </c>
      <c r="E36" s="34" t="n">
        <f aca="false">((B11/(1+$B36)^1+C11/(1+$B36)^2+D11/(1+$B36)^3+E11/(1+$B36)^4+F11/(1+$B36)^5+(F11*(1+E$32)/($B36-E$32))/(1+$B36)^5)-B24)/B26*100</f>
        <v>2520.6895384479</v>
      </c>
      <c r="F36" s="34" t="n">
        <f aca="false">((B11/(1+$B36)^1+C11/(1+$B36)^2+D11/(1+$B36)^3+E11/(1+$B36)^4+F11/(1+$B36)^5+(F11*(1+F$32)/($B36-F$32))/(1+$B36)^5)-B24)/B26*100</f>
        <v>2688.71888582145</v>
      </c>
      <c r="G36" s="34" t="n">
        <f aca="false">((B11/(1+$B36)^1+C11/(1+$B36)^2+D11/(1+$B36)^3+E11/(1+$B36)^4+F11/(1+$B36)^5+(F11*(1+G$32)/($B36-G$32))/(1+$B36)^5)-B24)/B26*100</f>
        <v>2883.52355298905</v>
      </c>
    </row>
    <row r="37" customFormat="false" ht="15" hidden="false" customHeight="true" outlineLevel="0" collapsed="false">
      <c r="B37" s="33" t="n">
        <f aca="false">$B$13+(0.01)</f>
        <v>0.0977553092422432</v>
      </c>
      <c r="C37" s="34" t="n">
        <f aca="false">((B11/(1+$B37)^1+C11/(1+$B37)^2+D11/(1+$B37)^3+E11/(1+$B37)^4+F11/(1+$B37)^5+(F11*(1+C$32)/($B37-C$32))/(1+$B37)^5)-B24)/B26*100</f>
        <v>2090.29993199176</v>
      </c>
      <c r="D37" s="34" t="n">
        <f aca="false">((B11/(1+$B37)^1+C11/(1+$B37)^2+D11/(1+$B37)^3+E11/(1+$B37)^4+F11/(1+$B37)^5+(F11*(1+D$32)/($B37-D$32))/(1+$B37)^5)-B24)/B26*100</f>
        <v>2202.29358546199</v>
      </c>
      <c r="E37" s="34" t="n">
        <f aca="false">((B11/(1+$B37)^1+C11/(1+$B37)^2+D11/(1+$B37)^3+E11/(1+$B37)^4+F11/(1+$B37)^5+(F11*(1+E$32)/($B37-E$32))/(1+$B37)^5)-B24)/B26*100</f>
        <v>2328.69058380496</v>
      </c>
      <c r="F37" s="34" t="n">
        <f aca="false">((B11/(1+$B37)^1+C11/(1+$B37)^2+D11/(1+$B37)^3+E11/(1+$B37)^4+F11/(1+$B37)^5+(F11*(1+F$32)/($B37-F$32))/(1+$B37)^5)-B24)/B26*100</f>
        <v>2472.46047213485</v>
      </c>
      <c r="G37" s="34" t="n">
        <f aca="false">((B11/(1+$B37)^1+C11/(1+$B37)^2+D11/(1+$B37)^3+E11/(1+$B37)^4+F11/(1+$B37)^5+(F11*(1+G$32)/($B37-G$32))/(1+$B37)^5)-B24)/B26*100</f>
        <v>2637.44934535873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0" min="2" style="1" width="13"/>
  </cols>
  <sheetData>
    <row r="1" customFormat="false" ht="15.75" hidden="false" customHeight="true" outlineLevel="0" collapsed="false">
      <c r="A1" s="11" t="s">
        <v>129</v>
      </c>
    </row>
    <row r="2" customFormat="false" ht="15" hidden="false" customHeight="true" outlineLevel="0" collapsed="false">
      <c r="A2" s="12" t="s">
        <v>130</v>
      </c>
    </row>
    <row r="4" customFormat="false" ht="15" hidden="false" customHeight="true" outlineLevel="0" collapsed="false">
      <c r="A4" s="35" t="s">
        <v>131</v>
      </c>
      <c r="B4" s="35" t="s">
        <v>132</v>
      </c>
      <c r="C4" s="35" t="s">
        <v>133</v>
      </c>
      <c r="D4" s="35" t="s">
        <v>134</v>
      </c>
      <c r="E4" s="35" t="s">
        <v>135</v>
      </c>
      <c r="F4" s="35" t="s">
        <v>136</v>
      </c>
      <c r="G4" s="35" t="s">
        <v>137</v>
      </c>
      <c r="H4" s="35" t="s">
        <v>138</v>
      </c>
      <c r="I4" s="35" t="s">
        <v>139</v>
      </c>
      <c r="J4" s="35" t="s">
        <v>140</v>
      </c>
    </row>
    <row r="5" customFormat="false" ht="15" hidden="false" customHeight="true" outlineLevel="0" collapsed="false">
      <c r="A5" s="7" t="s">
        <v>141</v>
      </c>
      <c r="B5" s="21" t="n">
        <f aca="false">Assumptions!B25</f>
        <v>4.33</v>
      </c>
      <c r="C5" s="21" t="n">
        <f aca="false">Assumptions!B27/1000</f>
        <v>0.5238</v>
      </c>
      <c r="D5" s="22" t="n">
        <f aca="false">B5+C5</f>
        <v>4.8538</v>
      </c>
      <c r="E5" s="21" t="n">
        <f aca="false">'Income Statement'!C5/1000</f>
        <v>1.7</v>
      </c>
      <c r="F5" s="21" t="n">
        <f aca="false">'Income Statement'!C12/1000</f>
        <v>0.402923076923077</v>
      </c>
      <c r="G5" s="36" t="n">
        <f aca="false">D5/E5</f>
        <v>2.85517647058824</v>
      </c>
      <c r="H5" s="36" t="n">
        <f aca="false">D5/F5</f>
        <v>12.0464681176021</v>
      </c>
      <c r="I5" s="9" t="n">
        <f aca="false">'Income Statement'!C19</f>
        <v>146.97760369515</v>
      </c>
      <c r="J5" s="36" t="n">
        <f aca="false">Assumptions!B24/I5</f>
        <v>21.1392751132636</v>
      </c>
    </row>
    <row r="6" customFormat="false" ht="15" hidden="false" customHeight="true" outlineLevel="0" collapsed="false">
      <c r="A6" s="6" t="s">
        <v>142</v>
      </c>
      <c r="B6" s="15" t="n">
        <v>12.88</v>
      </c>
      <c r="C6" s="15" t="n">
        <v>3.03</v>
      </c>
      <c r="D6" s="22" t="n">
        <f aca="false">B6+C6</f>
        <v>15.91</v>
      </c>
      <c r="E6" s="15" t="n">
        <v>10.61</v>
      </c>
      <c r="F6" s="22" t="n">
        <f aca="false">D6/8.2</f>
        <v>1.94024390243902</v>
      </c>
      <c r="G6" s="36" t="n">
        <f aca="false">D6/E6</f>
        <v>1.4995287464656</v>
      </c>
      <c r="H6" s="20" t="n">
        <v>8.2</v>
      </c>
      <c r="I6" s="37" t="s">
        <v>100</v>
      </c>
      <c r="J6" s="20" t="n">
        <v>21.8</v>
      </c>
    </row>
    <row r="7" customFormat="false" ht="15" hidden="false" customHeight="true" outlineLevel="0" collapsed="false">
      <c r="A7" s="6" t="s">
        <v>143</v>
      </c>
      <c r="B7" s="15" t="n">
        <v>10.08</v>
      </c>
      <c r="C7" s="38" t="s">
        <v>100</v>
      </c>
      <c r="D7" s="38" t="s">
        <v>100</v>
      </c>
      <c r="E7" s="15" t="n">
        <v>4.21</v>
      </c>
      <c r="F7" s="38" t="s">
        <v>100</v>
      </c>
      <c r="G7" s="38" t="s">
        <v>100</v>
      </c>
      <c r="H7" s="38" t="s">
        <v>100</v>
      </c>
      <c r="I7" s="37" t="s">
        <v>100</v>
      </c>
      <c r="J7" s="20" t="n">
        <v>36</v>
      </c>
    </row>
    <row r="8" customFormat="false" ht="15" hidden="false" customHeight="true" outlineLevel="0" collapsed="false">
      <c r="A8" s="6" t="s">
        <v>144</v>
      </c>
      <c r="B8" s="15" t="n">
        <v>26.09</v>
      </c>
      <c r="C8" s="38" t="s">
        <v>100</v>
      </c>
      <c r="D8" s="38" t="s">
        <v>100</v>
      </c>
      <c r="E8" s="15" t="n">
        <v>6.81</v>
      </c>
      <c r="F8" s="38" t="s">
        <v>100</v>
      </c>
      <c r="G8" s="38" t="s">
        <v>100</v>
      </c>
      <c r="H8" s="38" t="s">
        <v>100</v>
      </c>
      <c r="I8" s="37" t="s">
        <v>100</v>
      </c>
      <c r="J8" s="20" t="n">
        <v>20.6</v>
      </c>
    </row>
    <row r="9" customFormat="false" ht="15" hidden="false" customHeight="true" outlineLevel="0" collapsed="false">
      <c r="A9" s="10" t="s">
        <v>145</v>
      </c>
    </row>
    <row r="11" customFormat="false" ht="15" hidden="false" customHeight="true" outlineLevel="0" collapsed="false">
      <c r="A11" s="7" t="s">
        <v>146</v>
      </c>
      <c r="J11" s="36" t="n">
        <f aca="false">AVERAGE(J6,J7,J8)</f>
        <v>26.1333333333333</v>
      </c>
    </row>
    <row r="12" customFormat="false" ht="15" hidden="false" customHeight="true" outlineLevel="0" collapsed="false">
      <c r="A12" s="7" t="s">
        <v>147</v>
      </c>
      <c r="J12" s="30" t="n">
        <f aca="false">I5*J11</f>
        <v>3841.01470989992</v>
      </c>
    </row>
    <row r="13" customFormat="false" ht="15" hidden="false" customHeight="true" outlineLevel="0" collapsed="false">
      <c r="A13" s="6" t="s">
        <v>148</v>
      </c>
      <c r="J13" s="39" t="n">
        <f aca="false">((H6*F5)-Assumptions!B27/1000)*1000/Assumptions!B26*100</f>
        <v>1994.9158891455</v>
      </c>
    </row>
    <row r="15" customFormat="false" ht="15" hidden="false" customHeight="true" outlineLevel="0" collapsed="false">
      <c r="A15" s="10" t="s">
        <v>149</v>
      </c>
    </row>
    <row r="16" customFormat="false" ht="15" hidden="false" customHeight="true" outlineLevel="0" collapsed="false">
      <c r="A16" s="1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3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2" t="s">
        <v>151</v>
      </c>
      <c r="B1" s="2"/>
      <c r="C1" s="2"/>
      <c r="D1" s="2"/>
    </row>
    <row r="2" customFormat="false" ht="15" hidden="false" customHeight="true" outlineLevel="0" collapsed="false">
      <c r="A2" s="25" t="s">
        <v>152</v>
      </c>
    </row>
    <row r="4" customFormat="false" ht="15" hidden="false" customHeight="true" outlineLevel="0" collapsed="false">
      <c r="A4" s="7" t="s">
        <v>153</v>
      </c>
      <c r="B4" s="7" t="s">
        <v>154</v>
      </c>
      <c r="C4" s="7" t="s">
        <v>155</v>
      </c>
      <c r="E4" s="7" t="s">
        <v>156</v>
      </c>
      <c r="F4" s="7" t="s">
        <v>157</v>
      </c>
    </row>
    <row r="5" customFormat="false" ht="15" hidden="false" customHeight="true" outlineLevel="0" collapsed="false">
      <c r="A5" s="6" t="s">
        <v>158</v>
      </c>
      <c r="B5" s="8" t="n">
        <v>2427</v>
      </c>
      <c r="C5" s="8" t="n">
        <v>3312</v>
      </c>
      <c r="E5" s="39" t="n">
        <f aca="false">B5</f>
        <v>2427</v>
      </c>
      <c r="F5" s="39" t="n">
        <f aca="false">C5-B5</f>
        <v>885</v>
      </c>
    </row>
    <row r="6" customFormat="false" ht="15" hidden="false" customHeight="true" outlineLevel="0" collapsed="false">
      <c r="A6" s="6" t="s">
        <v>159</v>
      </c>
      <c r="B6" s="9" t="n">
        <f aca="false">MIN(DCF!C33:G37)</f>
        <v>2090.29993199176</v>
      </c>
      <c r="C6" s="9" t="n">
        <f aca="false">MAX(DCF!C33:G37)</f>
        <v>3931.75756993915</v>
      </c>
      <c r="E6" s="39" t="n">
        <f aca="false">B6</f>
        <v>2090.29993199176</v>
      </c>
      <c r="F6" s="39" t="n">
        <f aca="false">C6-B6</f>
        <v>1841.4576379474</v>
      </c>
    </row>
    <row r="7" customFormat="false" ht="15" hidden="false" customHeight="true" outlineLevel="0" collapsed="false">
      <c r="A7" s="6" t="s">
        <v>160</v>
      </c>
      <c r="B7" s="9" t="n">
        <f aca="false">Comps!I5*MIN(Comps!J6,Comps!J7,Comps!J8)</f>
        <v>3027.73863612009</v>
      </c>
      <c r="C7" s="9" t="n">
        <f aca="false">Comps!I5*MAX(Comps!J6,Comps!J7,Comps!J8)</f>
        <v>5291.1937330254</v>
      </c>
      <c r="E7" s="39" t="n">
        <f aca="false">B7</f>
        <v>3027.73863612009</v>
      </c>
      <c r="F7" s="39" t="n">
        <f aca="false">C7-B7</f>
        <v>2263.45509690531</v>
      </c>
    </row>
    <row r="8" customFormat="false" ht="15" hidden="false" customHeight="true" outlineLevel="0" collapsed="false">
      <c r="A8" s="6" t="s">
        <v>161</v>
      </c>
      <c r="B8" s="8" t="n">
        <v>2865</v>
      </c>
      <c r="C8" s="8" t="n">
        <v>5200</v>
      </c>
      <c r="E8" s="39" t="n">
        <f aca="false">B8</f>
        <v>2865</v>
      </c>
      <c r="F8" s="39" t="n">
        <f aca="false">C8-B8</f>
        <v>2335</v>
      </c>
    </row>
    <row r="9" customFormat="false" ht="15" hidden="false" customHeight="true" outlineLevel="0" collapsed="false">
      <c r="A9" s="6" t="s">
        <v>162</v>
      </c>
      <c r="B9" s="9" t="n">
        <f aca="false">Assumptions!B24</f>
        <v>3107</v>
      </c>
      <c r="C9" s="9" t="n">
        <f aca="false">Assumptions!B24+25</f>
        <v>3132</v>
      </c>
      <c r="E9" s="39" t="n">
        <f aca="false">B9</f>
        <v>3107</v>
      </c>
      <c r="F9" s="39" t="n">
        <f aca="false">C9-B9</f>
        <v>25</v>
      </c>
    </row>
    <row r="10" customFormat="false" ht="15" hidden="false" customHeight="true" outlineLevel="0" collapsed="false">
      <c r="A10" s="7" t="s">
        <v>163</v>
      </c>
    </row>
    <row r="11" customFormat="false" ht="15" hidden="false" customHeight="true" outlineLevel="0" collapsed="false">
      <c r="A11" s="12" t="s">
        <v>164</v>
      </c>
    </row>
    <row r="12" customFormat="false" ht="15" hidden="false" customHeight="true" outlineLevel="0" collapsed="false">
      <c r="A12" s="12" t="s">
        <v>165</v>
      </c>
    </row>
    <row r="13" customFormat="false" ht="15" hidden="false" customHeight="true" outlineLevel="0" collapsed="false">
      <c r="A13" s="12" t="s">
        <v>166</v>
      </c>
    </row>
    <row r="14" customFormat="false" ht="15" hidden="false" customHeight="true" outlineLevel="0" collapsed="false">
      <c r="A14" s="12" t="s">
        <v>167</v>
      </c>
    </row>
    <row r="15" customFormat="false" ht="15" hidden="false" customHeight="true" outlineLevel="0" collapsed="false">
      <c r="A15" s="12" t="s">
        <v>168</v>
      </c>
    </row>
    <row r="16" customFormat="false" ht="15" hidden="false" customHeight="true" outlineLevel="0" collapsed="false">
      <c r="A16" s="12" t="s">
        <v>169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2026-06-26T09:47:02Z</dcterms:created>
  <dc:creator>openpyxl</dc:creator>
  <dc:description/>
  <dc:language>en-US</dc:language>
  <cp:lastModifiedBy/>
  <dcterms:modified xsi:type="dcterms:W3CDTF">2026-06-26T09:55:41Z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