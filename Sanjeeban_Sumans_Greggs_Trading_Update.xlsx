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eggs FY25-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<sst xmlns="http://schemas.openxmlformats.org/spreadsheetml/2006/main" count="35" uniqueCount="35">
  <si>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Reading a Trading Update the Way a Board Would</t>
  </si>
  <si>
    <t xml:space="preserve">Greggs plc, real published figures. FY2025 results and 2026 guidance, announced 8 January 2026. Not commissioned by or shared with Greggs.</t>
  </si>
  <si>
    <t xml:space="preserve">Sales bridge: FY2024 to FY2025 (£m)</t>
  </si>
  <si>
    <t xml:space="preserve">Driver</t>
  </si>
  <si>
    <t xml:space="preserve">Impact (£m)</t>
  </si>
  <si>
    <t xml:space="preserve">Running total</t>
  </si>
  <si>
    <t xml:space="preserve">Bar base</t>
  </si>
  <si>
    <t xml:space="preserve">Bar height</t>
  </si>
  <si>
    <t xml:space="preserve">FY2024 total sales</t>
  </si>
  <si>
    <t xml:space="preserve">Like-for-like growth (+2.4%)</t>
  </si>
  <si>
    <t xml:space="preserve">Net new shops &amp; other channels</t>
  </si>
  <si>
    <t xml:space="preserve">FY2025 total sales</t>
  </si>
  <si>
    <t xml:space="preserve">Check: matches reported +6.8% growth</t>
  </si>
  <si>
    <t xml:space="preserve">Both totals and the LFL rate are reported directly by Greggs. The new-shop split is the arithmetic residual,</t>
  </si>
  <si>
    <t xml:space="preserve">not separately disclosed, and is labelled as such rather than presented as an exact reported figure.</t>
  </si>
  <si>
    <t xml:space="preserve">Why 2026 guidance disappointed the market</t>
  </si>
  <si>
    <t xml:space="preserve">2026 profit guidance</t>
  </si>
  <si>
    <t xml:space="preserve">Flat vs FY2025</t>
  </si>
  <si>
    <t xml:space="preserve">Market had priced in</t>
  </si>
  <si>
    <t xml:space="preserve">c.4-5% growth</t>
  </si>
  <si>
    <t xml:space="preserve">Resulting estimate cut</t>
  </si>
  <si>
    <t xml:space="preserve">c.5% below consensus (JPMorgan)</t>
  </si>
  <si>
    <t xml:space="preserve">Subdued consumer confidence, named explicitly by the company as a 2026 "market headwind".</t>
  </si>
  <si>
    <t xml:space="preserve">Unusually disruptive weather earlier in the year affected footfall.</t>
  </si>
  <si>
    <t xml:space="preserve">New supply chain capacity coming online (a new manufacturing and logistics site in Derby, a new</t>
  </si>
  <si>
    <t xml:space="preserve">    national distribution centre in Kettering) brings cost into 2026 before the capacity drives any benefit.</t>
  </si>
  <si>
    <t xml:space="preserve">Partially offsetting: like-for-like cost inflation is guided lower in 2026 than in 2025.</t>
  </si>
  <si>
    <t xml:space="preserve">Commentary</t>
  </si>
  <si>
    <t xml:space="preserve">The sales line tells a healthy story, growth accelerated through the year and new shops are doing exactly</t>
  </si>
  <si>
    <t xml:space="preserve">what they're meant to. The market's disappointment was entirely about the cost side of 2026, two genuine,</t>
  </si>
  <si>
    <t xml:space="preserve">named investments landing in the same year as a soft consumer backdrop. Worth noting what the company</t>
  </si>
  <si>
    <t xml:space="preserve">did not do: blame the macro environment alone. The supply chain costs were self-inflicted by design, the</t>
  </si>
  <si>
    <t xml:space="preserve">kind of short-term margin drag a board accepts deliberately because the long-term capacity is worth it.</t>
  </si>
  <si>
    <t xml:space="preserve">Sources: Greggs plc trading updates and FY2025 results (8 Jan 2026, 12 May 2026); JPMorgan and RBC Capital</t>
  </si>
  <si>
    <t xml:space="preserve">Markets commentary as reported by Morningstar/Alliance News and Hargreaves Lansdown, January 2026.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</si>
</sst>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\+0.0%;\-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2430"/>
      <name val="Arial"/>
      <family val="0"/>
      <charset val="1"/>
    </font>
    <font>
      <i val="true"/>
      <sz val="10"/>
      <color rgb="FF5C6470"/>
      <name val="Arial"/>
      <family val="0"/>
      <charset val="1"/>
    </font>
    <font>
      <b val="true"/>
      <sz val="12"/>
      <color rgb="FF1B243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5C6470"/>
      <name val="Arial"/>
      <family val="0"/>
      <charset val="1"/>
    </font>
    <font>
      <sz val="10"/>
      <color rgb="FF1B243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4F3E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44536"/>
      </bottom>
      <diagonal/>
    </border>
    <border diagonalUp="false" diagonalDown="false">
      <left/>
      <right/>
      <top/>
      <bottom style="thin">
        <color rgb="FFD9D5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3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5C9"/>
      <rgbColor rgb="FF878787"/>
      <rgbColor rgb="FF9999FF"/>
      <rgbColor rgb="FFC4453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4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FY24 to FY25 sales bridge (£m)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'Greggs FY25-26'!D5</c:f>
              <c:strCache>
                <c:ptCount val="1"/>
                <c:pt idx="0">
                  <c:v>Bar 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'Greggs FY25-26'!$A$6:$A$9</c:f>
              <c:strCache>
                <c:ptCount val="4"/>
                <c:pt idx="0">
                  <c:v>FY2024 total sales</c:v>
                </c:pt>
                <c:pt idx="1">
                  <c:v>Like-for-like growth (+2.4%)</c:v>
                </c:pt>
                <c:pt idx="2">
                  <c:v>Net new shops &amp; other channels</c:v>
                </c:pt>
                <c:pt idx="3">
                  <c:v>FY2025 total sales</c:v>
                </c:pt>
              </c:strCache>
            </c:strRef>
          </c:cat>
          <c:val>
            <c:numRef>
              <c:f>'Greggs FY25-26'!$D$6:$D$9</c:f>
              <c:numCache>
                <c:formatCode>#,##0;\(#,##0\);\-</c:formatCode>
                <c:ptCount val="4"/>
                <c:pt idx="0">
                  <c:v>0</c:v>
                </c:pt>
                <c:pt idx="1">
                  <c:v>2010</c:v>
                </c:pt>
                <c:pt idx="2">
                  <c:v>2058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'Greggs FY25-26'!E5</c:f>
              <c:strCache>
                <c:ptCount val="1"/>
                <c:pt idx="0">
                  <c:v>Bar height</c:v>
                </c:pt>
              </c:strCache>
            </c:strRef>
          </c:tx>
          <c:spPr>
            <a:solidFill>
              <a:srgbClr val="1b243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'Greggs FY25-26'!$A$6:$A$9</c:f>
              <c:strCache>
                <c:ptCount val="4"/>
                <c:pt idx="0">
                  <c:v>FY2024 total sales</c:v>
                </c:pt>
                <c:pt idx="1">
                  <c:v>Like-for-like growth (+2.4%)</c:v>
                </c:pt>
                <c:pt idx="2">
                  <c:v>Net new shops &amp; other channels</c:v>
                </c:pt>
                <c:pt idx="3">
                  <c:v>FY2025 total sales</c:v>
                </c:pt>
              </c:strCache>
            </c:strRef>
          </c:cat>
          <c:val>
            <c:numRef>
              <c:f>'Greggs FY25-26'!$E$6:$E$9</c:f>
              <c:numCache>
                <c:formatCode>#,##0;\(#,##0\);\-</c:formatCode>
                <c:ptCount val="4"/>
                <c:pt idx="0">
                  <c:v>2010</c:v>
                </c:pt>
                <c:pt idx="1">
                  <c:v>48</c:v>
                </c:pt>
                <c:pt idx="2">
                  <c:v>92</c:v>
                </c:pt>
                <c:pt idx="3">
                  <c:v>2150</c:v>
                </c:pt>
              </c:numCache>
            </c:numRef>
          </c:val>
        </c:ser>
        <c:gapWidth val="40"/>
        <c:overlap val="100"/>
        <c:axId val="6489280"/>
        <c:axId val="5658720"/>
      </c:barChart>
      <c:catAx>
        <c:axId val="648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8720"/>
        <c:crosses val="autoZero"/>
        <c:auto val="1"/>
        <c:lblAlgn val="ctr"/>
        <c:lblOffset val="100"/>
        <c:noMultiLvlLbl val="0"/>
      </c:catAx>
      <c:valAx>
        <c:axId val="56587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92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145440</xdr:rowOff>
    </xdr:from>
    <xdr:to>
      <xdr:col>4</xdr:col>
      <xdr:colOff>966600</xdr:colOff>
      <xdr:row>29</xdr:row>
      <xdr:rowOff>156960</xdr:rowOff>
    </xdr:to>
    <xdr:graphicFrame>
      <xdr:nvGraphicFramePr>
        <xdr:cNvPr id="0" name="Chart 1"/>
        <xdr:cNvGraphicFramePr/>
      </xdr:nvGraphicFramePr>
      <xdr:xfrm>
        <a:off x="0" y="26668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n">
        <v>2010</v>
      </c>
      <c r="C6" s="7" t="n">
        <f aca="false">B6</f>
        <v>2010</v>
      </c>
      <c r="D6" s="7" t="n">
        <v>0</v>
      </c>
      <c r="E6" s="7" t="n">
        <f aca="false">C6</f>
        <v>2010</v>
      </c>
    </row>
    <row r="7" customFormat="false" ht="15" hidden="false" customHeight="false" outlineLevel="0" collapsed="false">
      <c r="A7" s="8" t="s">
        <v>9</v>
      </c>
      <c r="B7" s="7" t="n">
        <f aca="false">ROUND(C6*0.024,0)</f>
        <v>48</v>
      </c>
      <c r="C7" s="7" t="n">
        <f aca="false">C6+B7</f>
        <v>2058</v>
      </c>
      <c r="D7" s="7" t="n">
        <f aca="false">MIN(C6,C7)</f>
        <v>2010</v>
      </c>
      <c r="E7" s="7" t="n">
        <f aca="false">ABS(B7)</f>
        <v>48</v>
      </c>
    </row>
    <row r="8" customFormat="false" ht="15" hidden="false" customHeight="false" outlineLevel="0" collapsed="false">
      <c r="A8" s="8" t="s">
        <v>10</v>
      </c>
      <c r="B8" s="7" t="n">
        <f aca="false">2150-C7</f>
        <v>92</v>
      </c>
      <c r="C8" s="7" t="n">
        <f aca="false">C7+B8</f>
        <v>2150</v>
      </c>
      <c r="D8" s="7" t="n">
        <f aca="false">MIN(C7,C8)</f>
        <v>2058</v>
      </c>
      <c r="E8" s="7" t="n">
        <f aca="false">ABS(B8)</f>
        <v>92</v>
      </c>
    </row>
    <row r="9" customFormat="false" ht="15" hidden="false" customHeight="false" outlineLevel="0" collapsed="false">
      <c r="A9" s="5" t="s">
        <v>11</v>
      </c>
      <c r="B9" s="7" t="n">
        <f aca="false">C8</f>
        <v>2150</v>
      </c>
      <c r="C9" s="7" t="n">
        <f aca="false">C8</f>
        <v>2150</v>
      </c>
      <c r="D9" s="7" t="n">
        <v>0</v>
      </c>
      <c r="E9" s="7" t="n">
        <f aca="false">C9</f>
        <v>2150</v>
      </c>
    </row>
    <row r="10" customFormat="false" ht="15" hidden="false" customHeight="false" outlineLevel="0" collapsed="false">
      <c r="A10" s="9" t="s">
        <v>12</v>
      </c>
      <c r="B10" s="10" t="n">
        <f aca="false">C9/C6-1</f>
        <v>0.0696517412935322</v>
      </c>
    </row>
    <row r="12" customFormat="false" ht="15" hidden="false" customHeight="false" outlineLevel="0" collapsed="false">
      <c r="A12" s="11" t="s">
        <v>13</v>
      </c>
      <c r="B12" s="11"/>
      <c r="C12" s="11"/>
      <c r="D12" s="11"/>
    </row>
    <row r="13" customFormat="false" ht="15" hidden="false" customHeight="false" outlineLevel="0" collapsed="false">
      <c r="A13" s="11" t="s">
        <v>14</v>
      </c>
      <c r="B13" s="11"/>
      <c r="C13" s="11"/>
      <c r="D13" s="11"/>
    </row>
    <row r="34" customFormat="false" ht="15" hidden="false" customHeight="false" outlineLevel="0" collapsed="false">
      <c r="A34" s="3" t="s">
        <v>15</v>
      </c>
    </row>
    <row r="35" customFormat="false" ht="15" hidden="false" customHeight="false" outlineLevel="0" collapsed="false">
      <c r="A35" s="5" t="s">
        <v>16</v>
      </c>
      <c r="B35" s="8" t="s">
        <v>17</v>
      </c>
    </row>
    <row r="36" customFormat="false" ht="15" hidden="false" customHeight="false" outlineLevel="0" collapsed="false">
      <c r="A36" s="5" t="s">
        <v>18</v>
      </c>
      <c r="B36" s="8" t="s">
        <v>19</v>
      </c>
    </row>
    <row r="37" customFormat="false" ht="15" hidden="false" customHeight="false" outlineLevel="0" collapsed="false">
      <c r="A37" s="5" t="s">
        <v>20</v>
      </c>
      <c r="B37" s="8" t="s">
        <v>21</v>
      </c>
    </row>
    <row r="39" customFormat="false" ht="15" hidden="false" customHeight="false" outlineLevel="0" collapsed="false">
      <c r="A39" s="12" t="s">
        <v>22</v>
      </c>
      <c r="B39" s="12"/>
      <c r="C39" s="12"/>
      <c r="D39" s="12"/>
    </row>
    <row r="40" customFormat="false" ht="15" hidden="false" customHeight="false" outlineLevel="0" collapsed="false">
      <c r="A40" s="12" t="s">
        <v>23</v>
      </c>
      <c r="B40" s="12"/>
      <c r="C40" s="12"/>
      <c r="D40" s="12"/>
    </row>
    <row r="41" customFormat="false" ht="15" hidden="false" customHeight="false" outlineLevel="0" collapsed="false">
      <c r="A41" s="12" t="s">
        <v>24</v>
      </c>
      <c r="B41" s="12"/>
      <c r="C41" s="12"/>
      <c r="D41" s="12"/>
    </row>
    <row r="42" customFormat="false" ht="15" hidden="false" customHeight="false" outlineLevel="0" collapsed="false">
      <c r="A42" s="12" t="s">
        <v>25</v>
      </c>
      <c r="B42" s="12"/>
      <c r="C42" s="12"/>
      <c r="D42" s="12"/>
    </row>
    <row r="43" customFormat="false" ht="15" hidden="false" customHeight="false" outlineLevel="0" collapsed="false">
      <c r="A43" s="12" t="s">
        <v>26</v>
      </c>
      <c r="B43" s="12"/>
      <c r="C43" s="12"/>
      <c r="D43" s="12"/>
    </row>
    <row r="45" customFormat="false" ht="15" hidden="false" customHeight="false" outlineLevel="0" collapsed="false">
      <c r="A45" s="3" t="s">
        <v>27</v>
      </c>
    </row>
    <row r="46" customFormat="false" ht="15" hidden="false" customHeight="false" outlineLevel="0" collapsed="false">
      <c r="A46" s="12" t="s">
        <v>28</v>
      </c>
      <c r="B46" s="12"/>
      <c r="C46" s="12"/>
      <c r="D46" s="12"/>
    </row>
    <row r="47" customFormat="false" ht="15" hidden="false" customHeight="false" outlineLevel="0" collapsed="false">
      <c r="A47" s="12" t="s">
        <v>29</v>
      </c>
      <c r="B47" s="12"/>
      <c r="C47" s="12"/>
      <c r="D47" s="12"/>
    </row>
    <row r="48" customFormat="false" ht="15" hidden="false" customHeight="false" outlineLevel="0" collapsed="false">
      <c r="A48" s="12" t="s">
        <v>30</v>
      </c>
      <c r="B48" s="12"/>
      <c r="C48" s="12"/>
      <c r="D48" s="12"/>
    </row>
    <row r="49" customFormat="false" ht="15" hidden="false" customHeight="false" outlineLevel="0" collapsed="false">
      <c r="A49" s="12" t="s">
        <v>31</v>
      </c>
      <c r="B49" s="12"/>
      <c r="C49" s="12"/>
      <c r="D49" s="12"/>
    </row>
    <row r="50" customFormat="false" ht="15" hidden="false" customHeight="false" outlineLevel="0" collapsed="false">
      <c r="A50" s="12" t="s">
        <v>32</v>
      </c>
      <c r="B50" s="12"/>
      <c r="C50" s="12"/>
      <c r="D50" s="12"/>
    </row>
    <row r="52" customFormat="false" ht="15" hidden="false" customHeight="false" outlineLevel="0" collapsed="false">
      <c r="A52" s="11" t="s">
        <v>33</v>
      </c>
      <c r="B52" s="11"/>
      <c r="C52" s="11"/>
      <c r="D52" s="11"/>
    </row>
    <row r="53" customFormat="false" ht="15" hidden="false" customHeight="false" outlineLevel="0" collapsed="false">
      <c r="A53" s="11" t="s">
        <v>34</v>
      </c>
      <c r="B53" s="11"/>
      <c r="C53" s="11"/>
      <c r="D53" s="11"/>
    </row>
  </sheetData>
  <mergeCells count="16">
    <mergeCell ref="A1:D1"/>
    <mergeCell ref="A2:D2"/>
    <mergeCell ref="A12:D12"/>
    <mergeCell ref="A13:D13"/>
    <mergeCell ref="A39:D39"/>
    <mergeCell ref="A40:D40"/>
    <mergeCell ref="A41:D41"/>
    <mergeCell ref="A42:D42"/>
    <mergeCell ref="A43:D43"/>
    <mergeCell ref="A46:D46"/>
    <mergeCell ref="A47:D47"/>
    <mergeCell ref="A48:D48"/>
    <mergeCell ref="A49:D49"/>
    <mergeCell ref="A50:D50"/>
    <mergeCell ref="A52:D52"/>
    <mergeCell ref="A53:D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2026-06-27T15:17:48Z</dcterms:created>
  <dc:creator>openpyxl</dc:creator>
  <dc:description/>
  <dc:language>en-US</dc:language>
  <cp:lastModifiedBy/>
  <dcterms:modified xsi:type="dcterms:W3CDTF">2026-06-27T15:17:53Z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